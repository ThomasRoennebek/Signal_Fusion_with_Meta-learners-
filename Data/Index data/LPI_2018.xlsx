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esktop/Master Thesis/Data/Index data/"/>
    </mc:Choice>
  </mc:AlternateContent>
  <xr:revisionPtr revIDLastSave="0" documentId="8_{C5772BCF-1D58-BF47-9DFB-B95A63B5984F}" xr6:coauthVersionLast="47" xr6:coauthVersionMax="47" xr10:uidLastSave="{00000000-0000-0000-0000-000000000000}"/>
  <bookViews>
    <workbookView xWindow="-51200" yWindow="2360" windowWidth="51200" windowHeight="28200" xr2:uid="{F6CC10A5-9791-3947-9BA1-D7468A21284A}"/>
  </bookViews>
  <sheets>
    <sheet name="2018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</calcChain>
</file>

<file path=xl/sharedStrings.xml><?xml version="1.0" encoding="utf-8"?>
<sst xmlns="http://schemas.openxmlformats.org/spreadsheetml/2006/main" count="349" uniqueCount="335">
  <si>
    <t>AFG</t>
  </si>
  <si>
    <t>Afghanistan</t>
  </si>
  <si>
    <t>AGO</t>
  </si>
  <si>
    <t>Angola</t>
  </si>
  <si>
    <t>BDI</t>
  </si>
  <si>
    <t>Burundi</t>
  </si>
  <si>
    <t>NER</t>
  </si>
  <si>
    <t>Niger</t>
  </si>
  <si>
    <t>SLE</t>
  </si>
  <si>
    <t>Sierra Leone</t>
  </si>
  <si>
    <t>ERI</t>
  </si>
  <si>
    <t>Eritrea</t>
  </si>
  <si>
    <t>LBY</t>
  </si>
  <si>
    <t>Libya</t>
  </si>
  <si>
    <t>HTI</t>
  </si>
  <si>
    <t>Haiti</t>
  </si>
  <si>
    <t>ZWE</t>
  </si>
  <si>
    <t>Zimbabwe</t>
  </si>
  <si>
    <t>CAF</t>
  </si>
  <si>
    <t>Central African Republic</t>
  </si>
  <si>
    <t>GAB</t>
  </si>
  <si>
    <t>Gabon</t>
  </si>
  <si>
    <t>BTN</t>
  </si>
  <si>
    <t>Bhutan</t>
  </si>
  <si>
    <t>PNG</t>
  </si>
  <si>
    <t>Papua New Guinea</t>
  </si>
  <si>
    <t>IRQ</t>
  </si>
  <si>
    <t>Iraq</t>
  </si>
  <si>
    <t>CUB</t>
  </si>
  <si>
    <t>Cuba</t>
  </si>
  <si>
    <t>GIN</t>
  </si>
  <si>
    <t>Guinea</t>
  </si>
  <si>
    <t>SOM</t>
  </si>
  <si>
    <t>Somalia</t>
  </si>
  <si>
    <t>LBR</t>
  </si>
  <si>
    <t>Liberia</t>
  </si>
  <si>
    <t>VEN</t>
  </si>
  <si>
    <t>Venezuela, RB</t>
  </si>
  <si>
    <t>SEN</t>
  </si>
  <si>
    <t>Senegal</t>
  </si>
  <si>
    <t>YEM</t>
  </si>
  <si>
    <t>Yemen, Rep.</t>
  </si>
  <si>
    <t>LSO</t>
  </si>
  <si>
    <t>Lesotho</t>
  </si>
  <si>
    <t>SYR</t>
  </si>
  <si>
    <t>Syrian Arab Republic</t>
  </si>
  <si>
    <t>MMR</t>
  </si>
  <si>
    <t>Myanmar</t>
  </si>
  <si>
    <t>GNQ</t>
  </si>
  <si>
    <t>Equatorial Guinea</t>
  </si>
  <si>
    <t>MRT</t>
  </si>
  <si>
    <t>Mauritania</t>
  </si>
  <si>
    <t>TJK</t>
  </si>
  <si>
    <t>Tajikistan</t>
  </si>
  <si>
    <t>FJI</t>
  </si>
  <si>
    <t>Fiji</t>
  </si>
  <si>
    <t>GUY</t>
  </si>
  <si>
    <t>Guyana</t>
  </si>
  <si>
    <t>BOL</t>
  </si>
  <si>
    <t>Bolivia</t>
  </si>
  <si>
    <t>MNG</t>
  </si>
  <si>
    <t>Mongolia</t>
  </si>
  <si>
    <t>GNB</t>
  </si>
  <si>
    <t>Guinea-Bissau</t>
  </si>
  <si>
    <t>MDG</t>
  </si>
  <si>
    <t>Madagascar</t>
  </si>
  <si>
    <t>GMB</t>
  </si>
  <si>
    <t>Gambia, The</t>
  </si>
  <si>
    <t>TKM</t>
  </si>
  <si>
    <t>Turkmenistan</t>
  </si>
  <si>
    <t>GTM</t>
  </si>
  <si>
    <t>Guatemala</t>
  </si>
  <si>
    <t>TTO</t>
  </si>
  <si>
    <t>Trinidad and Tobago</t>
  </si>
  <si>
    <t>TCD</t>
  </si>
  <si>
    <t>Chad</t>
  </si>
  <si>
    <t>PAK</t>
  </si>
  <si>
    <t>Pakistan</t>
  </si>
  <si>
    <t>SDN</t>
  </si>
  <si>
    <t>Sudan</t>
  </si>
  <si>
    <t>ZAR</t>
  </si>
  <si>
    <t>Congo, Dem. Rep.</t>
  </si>
  <si>
    <t>GEO</t>
  </si>
  <si>
    <t>Georgia</t>
  </si>
  <si>
    <t>TGO</t>
  </si>
  <si>
    <t>Togo</t>
  </si>
  <si>
    <t>DZA</t>
  </si>
  <si>
    <t>Algeria</t>
  </si>
  <si>
    <t>MDA</t>
  </si>
  <si>
    <t>Moldova</t>
  </si>
  <si>
    <t>COG</t>
  </si>
  <si>
    <t>Congo, Rep.</t>
  </si>
  <si>
    <t>NPL</t>
  </si>
  <si>
    <t>Nepal</t>
  </si>
  <si>
    <t>JAM</t>
  </si>
  <si>
    <t>Jamaica</t>
  </si>
  <si>
    <t>BHS</t>
  </si>
  <si>
    <t>Bahamas, The</t>
  </si>
  <si>
    <t>ZMB</t>
  </si>
  <si>
    <t>Zambia</t>
  </si>
  <si>
    <t>NGA</t>
  </si>
  <si>
    <t>Nigeria</t>
  </si>
  <si>
    <t>MAR</t>
  </si>
  <si>
    <t>Morocco</t>
  </si>
  <si>
    <t>KGZ</t>
  </si>
  <si>
    <t>Kyrgyz Republic</t>
  </si>
  <si>
    <t>COM</t>
  </si>
  <si>
    <t>Comoros</t>
  </si>
  <si>
    <t>GHA</t>
  </si>
  <si>
    <t>Ghana</t>
  </si>
  <si>
    <t>TUN</t>
  </si>
  <si>
    <t>Tunisia</t>
  </si>
  <si>
    <t>SLB</t>
  </si>
  <si>
    <t>Solomon Islands</t>
  </si>
  <si>
    <t>BLR</t>
  </si>
  <si>
    <t>Belarus</t>
  </si>
  <si>
    <t>UGA</t>
  </si>
  <si>
    <t>Uganda</t>
  </si>
  <si>
    <t>SLV</t>
  </si>
  <si>
    <t>El Salvador</t>
  </si>
  <si>
    <t>BGD</t>
  </si>
  <si>
    <t>Bangladesh</t>
  </si>
  <si>
    <t>UZB</t>
  </si>
  <si>
    <t>Uzbekistan</t>
  </si>
  <si>
    <t>KHM</t>
  </si>
  <si>
    <t>Cambodia</t>
  </si>
  <si>
    <t>MWI</t>
  </si>
  <si>
    <t>Malawi</t>
  </si>
  <si>
    <t>MLI</t>
  </si>
  <si>
    <t>Mali</t>
  </si>
  <si>
    <t>CMR</t>
  </si>
  <si>
    <t>Cameroon</t>
  </si>
  <si>
    <t>LKA</t>
  </si>
  <si>
    <t>Sri Lanka</t>
  </si>
  <si>
    <t>HND</t>
  </si>
  <si>
    <t>Honduras</t>
  </si>
  <si>
    <t>ARM</t>
  </si>
  <si>
    <t>Armenia</t>
  </si>
  <si>
    <t>BFA</t>
  </si>
  <si>
    <t>Burkina Faso</t>
  </si>
  <si>
    <t>DJI</t>
  </si>
  <si>
    <t>Djibouti</t>
  </si>
  <si>
    <t>STP</t>
  </si>
  <si>
    <t>São Tomé and Principe</t>
  </si>
  <si>
    <t>ALB</t>
  </si>
  <si>
    <t>Albania</t>
  </si>
  <si>
    <t>DOM</t>
  </si>
  <si>
    <t>Dominican Republic</t>
  </si>
  <si>
    <t>MDV</t>
  </si>
  <si>
    <t>Maldives</t>
  </si>
  <si>
    <t>URY</t>
  </si>
  <si>
    <t>Uruguay</t>
  </si>
  <si>
    <t>JOR</t>
  </si>
  <si>
    <t>Jordan</t>
  </si>
  <si>
    <t>PER</t>
  </si>
  <si>
    <t>Peru</t>
  </si>
  <si>
    <t>LAO</t>
  </si>
  <si>
    <t>Lao PDR</t>
  </si>
  <si>
    <t>MKD</t>
  </si>
  <si>
    <t>Macedonia, FYR</t>
  </si>
  <si>
    <t>BRN</t>
  </si>
  <si>
    <t>Brunei Darussalam</t>
  </si>
  <si>
    <t>LBN</t>
  </si>
  <si>
    <t>Lebanon</t>
  </si>
  <si>
    <t>MUS</t>
  </si>
  <si>
    <t>Mauritius</t>
  </si>
  <si>
    <t>MNE</t>
  </si>
  <si>
    <t>Montenegro</t>
  </si>
  <si>
    <t>BEN</t>
  </si>
  <si>
    <t>Benin</t>
  </si>
  <si>
    <t>RUS</t>
  </si>
  <si>
    <t>Russian Federation</t>
  </si>
  <si>
    <t>PRY</t>
  </si>
  <si>
    <t>Paraguay</t>
  </si>
  <si>
    <t>CRI</t>
  </si>
  <si>
    <t>Costa Rica</t>
  </si>
  <si>
    <t>BIH</t>
  </si>
  <si>
    <t>Bosnia and Herzegovina</t>
  </si>
  <si>
    <t>KAZ</t>
  </si>
  <si>
    <t>Kazakhstan</t>
  </si>
  <si>
    <t>LVA</t>
  </si>
  <si>
    <t>Latvia</t>
  </si>
  <si>
    <t>MLT</t>
  </si>
  <si>
    <t>Malta</t>
  </si>
  <si>
    <t>KEN</t>
  </si>
  <si>
    <t>Kenya</t>
  </si>
  <si>
    <t>EGY</t>
  </si>
  <si>
    <t>Egypt, Arab Rep.</t>
  </si>
  <si>
    <t>UKR</t>
  </si>
  <si>
    <t>Ukraine</t>
  </si>
  <si>
    <t>SRB</t>
  </si>
  <si>
    <t>Serbia</t>
  </si>
  <si>
    <t>IRN</t>
  </si>
  <si>
    <t>Iran, Islamic Rep.</t>
  </si>
  <si>
    <t>KWT</t>
  </si>
  <si>
    <t>Kuwait</t>
  </si>
  <si>
    <t>ECU</t>
  </si>
  <si>
    <t>Ecuador</t>
  </si>
  <si>
    <t>ARG</t>
  </si>
  <si>
    <t>Argentina</t>
  </si>
  <si>
    <t>PHL</t>
  </si>
  <si>
    <t>Philippines</t>
  </si>
  <si>
    <t>BHR</t>
  </si>
  <si>
    <t>Bahrain</t>
  </si>
  <si>
    <t>COL</t>
  </si>
  <si>
    <t>Colombia</t>
  </si>
  <si>
    <t>RWA</t>
  </si>
  <si>
    <t>Rwanda</t>
  </si>
  <si>
    <t>BRA</t>
  </si>
  <si>
    <t>Brazil</t>
  </si>
  <si>
    <t>SAU</t>
  </si>
  <si>
    <t>Saudi Arabia</t>
  </si>
  <si>
    <t>LTU</t>
  </si>
  <si>
    <t>Lithuania</t>
  </si>
  <si>
    <t>SVK</t>
  </si>
  <si>
    <t>Slovak Republic</t>
  </si>
  <si>
    <t>BGR</t>
  </si>
  <si>
    <t>Bulgaria</t>
  </si>
  <si>
    <t>MEX</t>
  </si>
  <si>
    <t>Mexico</t>
  </si>
  <si>
    <t>CIV</t>
  </si>
  <si>
    <t>Côte d'Ivoire</t>
  </si>
  <si>
    <t>HRV</t>
  </si>
  <si>
    <t>Croatia</t>
  </si>
  <si>
    <t>ROM</t>
  </si>
  <si>
    <t>Romania</t>
  </si>
  <si>
    <t>TUR</t>
  </si>
  <si>
    <t>Turkey</t>
  </si>
  <si>
    <t>IDN</t>
  </si>
  <si>
    <t>Indonesia</t>
  </si>
  <si>
    <t>CYP</t>
  </si>
  <si>
    <t>Cyprus</t>
  </si>
  <si>
    <t>IND</t>
  </si>
  <si>
    <t>India</t>
  </si>
  <si>
    <t>OMN</t>
  </si>
  <si>
    <t>Oman</t>
  </si>
  <si>
    <t>GRC</t>
  </si>
  <si>
    <t>Greece</t>
  </si>
  <si>
    <t>MYS</t>
  </si>
  <si>
    <t>Malaysia</t>
  </si>
  <si>
    <t>ISL</t>
  </si>
  <si>
    <t>Iceland</t>
  </si>
  <si>
    <t>VNM</t>
  </si>
  <si>
    <t>Vietnam</t>
  </si>
  <si>
    <t>PAN</t>
  </si>
  <si>
    <t>Panama</t>
  </si>
  <si>
    <t>ISR</t>
  </si>
  <si>
    <t>Israel</t>
  </si>
  <si>
    <t>EST</t>
  </si>
  <si>
    <t>Estonia</t>
  </si>
  <si>
    <t>SVN</t>
  </si>
  <si>
    <t>Slovenia</t>
  </si>
  <si>
    <t>CHL</t>
  </si>
  <si>
    <t>Chile</t>
  </si>
  <si>
    <t>ZAF</t>
  </si>
  <si>
    <t>South Africa</t>
  </si>
  <si>
    <t>THA</t>
  </si>
  <si>
    <t>Thailand</t>
  </si>
  <si>
    <t>HUN</t>
  </si>
  <si>
    <t>Hungary</t>
  </si>
  <si>
    <t>QAT</t>
  </si>
  <si>
    <t>Qatar</t>
  </si>
  <si>
    <t>IRL</t>
  </si>
  <si>
    <t>Ireland</t>
  </si>
  <si>
    <t>POL</t>
  </si>
  <si>
    <t>Poland</t>
  </si>
  <si>
    <t>TWN</t>
  </si>
  <si>
    <t>Taiwan, China</t>
  </si>
  <si>
    <t>CHN</t>
  </si>
  <si>
    <t>China</t>
  </si>
  <si>
    <t>KOR</t>
  </si>
  <si>
    <t>Korea, Rep.</t>
  </si>
  <si>
    <t>LUX</t>
  </si>
  <si>
    <t>Luxembourg</t>
  </si>
  <si>
    <t>PRT</t>
  </si>
  <si>
    <t>Portugal</t>
  </si>
  <si>
    <t>CZE</t>
  </si>
  <si>
    <t>Czech Republic</t>
  </si>
  <si>
    <t>NOR</t>
  </si>
  <si>
    <t>Norway</t>
  </si>
  <si>
    <t>CAN</t>
  </si>
  <si>
    <t>Canada</t>
  </si>
  <si>
    <t>ITA</t>
  </si>
  <si>
    <t>Italy</t>
  </si>
  <si>
    <t>AUS</t>
  </si>
  <si>
    <t>Australia</t>
  </si>
  <si>
    <t>ESP</t>
  </si>
  <si>
    <t>Spain</t>
  </si>
  <si>
    <t>FRA</t>
  </si>
  <si>
    <t>France</t>
  </si>
  <si>
    <t>NZL</t>
  </si>
  <si>
    <t>New Zealand</t>
  </si>
  <si>
    <t>USA</t>
  </si>
  <si>
    <t>United States</t>
  </si>
  <si>
    <t>CHE</t>
  </si>
  <si>
    <t>Switzerland</t>
  </si>
  <si>
    <t>HKG</t>
  </si>
  <si>
    <t>Hong Kong SAR, China</t>
  </si>
  <si>
    <t>ARE</t>
  </si>
  <si>
    <t>United Arab Emirates</t>
  </si>
  <si>
    <t>FIN</t>
  </si>
  <si>
    <t>Finland</t>
  </si>
  <si>
    <t>GBR</t>
  </si>
  <si>
    <t>United Kingdom</t>
  </si>
  <si>
    <t>DNK</t>
  </si>
  <si>
    <t>Denmark</t>
  </si>
  <si>
    <t>SGP</t>
  </si>
  <si>
    <t>Singapore</t>
  </si>
  <si>
    <t>NLD</t>
  </si>
  <si>
    <t>Netherlands</t>
  </si>
  <si>
    <t>JPN</t>
  </si>
  <si>
    <t>Japan</t>
  </si>
  <si>
    <t>AUT</t>
  </si>
  <si>
    <t>Austria</t>
  </si>
  <si>
    <t>BEL</t>
  </si>
  <si>
    <t>Belgium</t>
  </si>
  <si>
    <t>SWE</t>
  </si>
  <si>
    <t>Sweden</t>
  </si>
  <si>
    <t>DEU</t>
  </si>
  <si>
    <t>Germany</t>
  </si>
  <si>
    <t>rank</t>
  </si>
  <si>
    <t>score</t>
  </si>
  <si>
    <t>% of highest performer</t>
  </si>
  <si>
    <t>upper bound</t>
  </si>
  <si>
    <t>lower bound</t>
  </si>
  <si>
    <t>Code</t>
  </si>
  <si>
    <t>Country</t>
  </si>
  <si>
    <t>Timeliness</t>
  </si>
  <si>
    <t>Tracking and tracing</t>
  </si>
  <si>
    <t>Logistics quality and competence</t>
  </si>
  <si>
    <t>International shipments</t>
  </si>
  <si>
    <t>Infrastructure</t>
  </si>
  <si>
    <t>Customs</t>
  </si>
  <si>
    <t>overall LPI rank</t>
  </si>
  <si>
    <t>overall LPI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</si>
</sst>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2" fontId="1" fillId="0" borderId="0" xfId="1" applyNumberFormat="1"/>
    <xf numFmtId="0" fontId="1" fillId="0" borderId="0" xfId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/>
    <xf numFmtId="0" fontId="4" fillId="0" borderId="0" xfId="1" applyFont="1"/>
  </cellXfs>
  <cellStyles count="2">
    <cellStyle name="Normal" xfId="0" builtinId="0"/>
    <cellStyle name="Normal 2" xfId="1" xr:uid="{2A47900B-93B0-C64C-A866-2C3C6A874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40DD-CACE-6C48-A1BD-DFF98FBA676C}">
  <dimension ref="A1:U163"/>
  <sheetViews>
    <sheetView tabSelected="1" workbookViewId="0">
      <selection activeCell="Z31" sqref="Z31"/>
    </sheetView>
  </sheetViews>
  <sheetFormatPr baseColWidth="10" defaultColWidth="11.5" defaultRowHeight="15" x14ac:dyDescent="0.2"/>
  <cols>
    <col min="1" max="16384" width="11.5" style="1"/>
  </cols>
  <sheetData>
    <row r="1" spans="1:21" x14ac:dyDescent="0.2">
      <c r="C1" s="9" t="s">
        <v>334</v>
      </c>
      <c r="F1" s="8" t="s">
        <v>333</v>
      </c>
      <c r="G1" s="8"/>
      <c r="H1" s="8"/>
      <c r="J1" s="7" t="s">
        <v>332</v>
      </c>
      <c r="L1" s="7" t="s">
        <v>331</v>
      </c>
      <c r="N1" s="7" t="s">
        <v>330</v>
      </c>
      <c r="P1" s="7" t="s">
        <v>329</v>
      </c>
      <c r="R1" s="7" t="s">
        <v>328</v>
      </c>
      <c r="T1" s="7" t="s">
        <v>327</v>
      </c>
    </row>
    <row r="2" spans="1:21" x14ac:dyDescent="0.2">
      <c r="J2" s="7"/>
      <c r="L2" s="7"/>
      <c r="N2" s="7"/>
      <c r="P2" s="7"/>
      <c r="R2" s="7"/>
      <c r="T2" s="7"/>
    </row>
    <row r="3" spans="1:21" s="3" customFormat="1" x14ac:dyDescent="0.2">
      <c r="A3" s="6" t="s">
        <v>326</v>
      </c>
      <c r="B3" s="6" t="s">
        <v>325</v>
      </c>
      <c r="C3" s="5" t="s">
        <v>321</v>
      </c>
      <c r="D3" s="5" t="s">
        <v>324</v>
      </c>
      <c r="E3" s="5" t="s">
        <v>323</v>
      </c>
      <c r="F3" s="5" t="s">
        <v>320</v>
      </c>
      <c r="G3" s="5" t="s">
        <v>324</v>
      </c>
      <c r="H3" s="5" t="s">
        <v>323</v>
      </c>
      <c r="I3" s="4" t="s">
        <v>322</v>
      </c>
      <c r="J3" s="4" t="s">
        <v>321</v>
      </c>
      <c r="K3" s="4" t="s">
        <v>320</v>
      </c>
      <c r="L3" s="4" t="s">
        <v>321</v>
      </c>
      <c r="M3" s="4" t="s">
        <v>320</v>
      </c>
      <c r="N3" s="4" t="s">
        <v>321</v>
      </c>
      <c r="O3" s="4" t="s">
        <v>320</v>
      </c>
      <c r="P3" s="4" t="s">
        <v>321</v>
      </c>
      <c r="Q3" s="4" t="s">
        <v>320</v>
      </c>
      <c r="R3" s="4" t="s">
        <v>321</v>
      </c>
      <c r="S3" s="4" t="s">
        <v>320</v>
      </c>
      <c r="T3" s="4" t="s">
        <v>321</v>
      </c>
      <c r="U3" s="4" t="s">
        <v>320</v>
      </c>
    </row>
    <row r="4" spans="1:21" x14ac:dyDescent="0.2">
      <c r="A4" s="1" t="s">
        <v>319</v>
      </c>
      <c r="B4" s="1" t="s">
        <v>318</v>
      </c>
      <c r="C4" s="2">
        <v>4.2014440000000004</v>
      </c>
      <c r="D4" s="2">
        <v>4.1550370000000001</v>
      </c>
      <c r="E4" s="2">
        <v>4.2478509999999998</v>
      </c>
      <c r="F4" s="1">
        <v>1</v>
      </c>
      <c r="G4" s="1">
        <v>1</v>
      </c>
      <c r="H4" s="1">
        <v>1</v>
      </c>
      <c r="I4" s="2">
        <f>(C4-1)*100/($C$4-1)</f>
        <v>100</v>
      </c>
      <c r="J4" s="2">
        <v>4.0922559999999999</v>
      </c>
      <c r="K4" s="1">
        <v>1</v>
      </c>
      <c r="L4" s="2">
        <v>4.374447</v>
      </c>
      <c r="M4" s="1">
        <v>1</v>
      </c>
      <c r="N4" s="2">
        <v>3.8589980000000002</v>
      </c>
      <c r="O4" s="1">
        <v>4</v>
      </c>
      <c r="P4" s="2">
        <v>4.3106499999999999</v>
      </c>
      <c r="Q4" s="1">
        <v>1</v>
      </c>
      <c r="R4" s="2">
        <v>4.239401</v>
      </c>
      <c r="S4" s="1">
        <v>2</v>
      </c>
      <c r="T4" s="2">
        <v>4.3921140000000003</v>
      </c>
      <c r="U4" s="1">
        <v>3</v>
      </c>
    </row>
    <row r="5" spans="1:21" x14ac:dyDescent="0.2">
      <c r="A5" s="1" t="s">
        <v>317</v>
      </c>
      <c r="B5" s="1" t="s">
        <v>316</v>
      </c>
      <c r="C5" s="2">
        <v>4.052905</v>
      </c>
      <c r="D5" s="2">
        <v>3.9048240000000001</v>
      </c>
      <c r="E5" s="2">
        <v>4.2009860000000003</v>
      </c>
      <c r="F5" s="1">
        <v>2</v>
      </c>
      <c r="G5" s="1">
        <v>2</v>
      </c>
      <c r="H5" s="1">
        <v>12</v>
      </c>
      <c r="I5" s="2">
        <f>(C5-1)*100/($C$4-1)</f>
        <v>95.360249937215826</v>
      </c>
      <c r="J5" s="2">
        <v>4.0493610000000002</v>
      </c>
      <c r="K5" s="1">
        <v>2</v>
      </c>
      <c r="L5" s="2">
        <v>4.2399469999999999</v>
      </c>
      <c r="M5" s="1">
        <v>3</v>
      </c>
      <c r="N5" s="2">
        <v>3.9158369999999998</v>
      </c>
      <c r="O5" s="1">
        <v>2</v>
      </c>
      <c r="P5" s="2">
        <v>3.976896</v>
      </c>
      <c r="Q5" s="1">
        <v>10</v>
      </c>
      <c r="R5" s="2">
        <v>3.876315</v>
      </c>
      <c r="S5" s="1">
        <v>17</v>
      </c>
      <c r="T5" s="2">
        <v>4.2848660000000001</v>
      </c>
      <c r="U5" s="1">
        <v>7</v>
      </c>
    </row>
    <row r="6" spans="1:21" x14ac:dyDescent="0.2">
      <c r="A6" s="1" t="s">
        <v>315</v>
      </c>
      <c r="B6" s="1" t="s">
        <v>314</v>
      </c>
      <c r="C6" s="2">
        <v>4.0390839999999999</v>
      </c>
      <c r="D6" s="2">
        <v>3.9191750000000001</v>
      </c>
      <c r="E6" s="2">
        <v>4.1589929999999997</v>
      </c>
      <c r="F6" s="1">
        <v>3</v>
      </c>
      <c r="G6" s="1">
        <v>2</v>
      </c>
      <c r="H6" s="1">
        <v>12</v>
      </c>
      <c r="I6" s="2">
        <f>(C6-1)*100/($C$4-1)</f>
        <v>94.928538497003203</v>
      </c>
      <c r="J6" s="2">
        <v>3.6630639999999999</v>
      </c>
      <c r="K6" s="1">
        <v>14</v>
      </c>
      <c r="L6" s="2">
        <v>3.9842490000000002</v>
      </c>
      <c r="M6" s="1">
        <v>14</v>
      </c>
      <c r="N6" s="2">
        <v>3.9949129999999999</v>
      </c>
      <c r="O6" s="1">
        <v>1</v>
      </c>
      <c r="P6" s="2">
        <v>4.1309719999999999</v>
      </c>
      <c r="Q6" s="1">
        <v>2</v>
      </c>
      <c r="R6" s="2">
        <v>4.0512889999999997</v>
      </c>
      <c r="S6" s="1">
        <v>9</v>
      </c>
      <c r="T6" s="2">
        <v>4.4102930000000002</v>
      </c>
      <c r="U6" s="1">
        <v>1</v>
      </c>
    </row>
    <row r="7" spans="1:21" x14ac:dyDescent="0.2">
      <c r="A7" s="1" t="s">
        <v>313</v>
      </c>
      <c r="B7" s="1" t="s">
        <v>312</v>
      </c>
      <c r="C7" s="2">
        <v>4.0260049999999996</v>
      </c>
      <c r="D7" s="2">
        <v>3.8847900000000002</v>
      </c>
      <c r="E7" s="2">
        <v>4.1672209999999996</v>
      </c>
      <c r="F7" s="1">
        <v>4</v>
      </c>
      <c r="G7" s="1">
        <v>2</v>
      </c>
      <c r="H7" s="1">
        <v>14</v>
      </c>
      <c r="I7" s="2">
        <f>(C7-1)*100/($C$4-1)</f>
        <v>94.520004098150679</v>
      </c>
      <c r="J7" s="2">
        <v>3.7140680000000001</v>
      </c>
      <c r="K7" s="1">
        <v>12</v>
      </c>
      <c r="L7" s="2">
        <v>4.181584</v>
      </c>
      <c r="M7" s="1">
        <v>5</v>
      </c>
      <c r="N7" s="2">
        <v>3.8775300000000001</v>
      </c>
      <c r="O7" s="1">
        <v>3</v>
      </c>
      <c r="P7" s="2">
        <v>4.0836110000000003</v>
      </c>
      <c r="Q7" s="1">
        <v>6</v>
      </c>
      <c r="R7" s="2">
        <v>4.0870980000000001</v>
      </c>
      <c r="S7" s="1">
        <v>7</v>
      </c>
      <c r="T7" s="2">
        <v>4.2508030000000003</v>
      </c>
      <c r="U7" s="1">
        <v>12</v>
      </c>
    </row>
    <row r="8" spans="1:21" x14ac:dyDescent="0.2">
      <c r="A8" s="1" t="s">
        <v>311</v>
      </c>
      <c r="B8" s="1" t="s">
        <v>310</v>
      </c>
      <c r="C8" s="2">
        <v>4.0256499999999997</v>
      </c>
      <c r="D8" s="2">
        <v>3.957147</v>
      </c>
      <c r="E8" s="2">
        <v>4.0941520000000002</v>
      </c>
      <c r="F8" s="1">
        <v>5</v>
      </c>
      <c r="G8" s="1">
        <v>2</v>
      </c>
      <c r="H8" s="1">
        <v>10</v>
      </c>
      <c r="I8" s="2">
        <f>(C8-1)*100/($C$4-1)</f>
        <v>94.508915351947422</v>
      </c>
      <c r="J8" s="2">
        <v>3.9939900000000002</v>
      </c>
      <c r="K8" s="1">
        <v>3</v>
      </c>
      <c r="L8" s="2">
        <v>4.24824</v>
      </c>
      <c r="M8" s="1">
        <v>2</v>
      </c>
      <c r="N8" s="2">
        <v>3.5919159999999999</v>
      </c>
      <c r="O8" s="1">
        <v>14</v>
      </c>
      <c r="P8" s="2">
        <v>4.0884510000000001</v>
      </c>
      <c r="Q8" s="1">
        <v>4</v>
      </c>
      <c r="R8" s="2">
        <v>4.0491010000000003</v>
      </c>
      <c r="S8" s="1">
        <v>10</v>
      </c>
      <c r="T8" s="2">
        <v>4.2540690000000003</v>
      </c>
      <c r="U8" s="1">
        <v>10</v>
      </c>
    </row>
    <row r="9" spans="1:21" x14ac:dyDescent="0.2">
      <c r="A9" s="1" t="s">
        <v>309</v>
      </c>
      <c r="B9" s="1" t="s">
        <v>308</v>
      </c>
      <c r="C9" s="2">
        <v>4.0192690000000004</v>
      </c>
      <c r="D9" s="2">
        <v>3.9514320000000001</v>
      </c>
      <c r="E9" s="2">
        <v>4.0871060000000003</v>
      </c>
      <c r="F9" s="1">
        <v>6</v>
      </c>
      <c r="G9" s="1">
        <v>2</v>
      </c>
      <c r="H9" s="1">
        <v>11</v>
      </c>
      <c r="I9" s="2">
        <f>(C9-1)*100/($C$4-1)</f>
        <v>94.30959904343166</v>
      </c>
      <c r="J9" s="2">
        <v>3.9175589999999998</v>
      </c>
      <c r="K9" s="1">
        <v>5</v>
      </c>
      <c r="L9" s="2">
        <v>4.207611</v>
      </c>
      <c r="M9" s="1">
        <v>4</v>
      </c>
      <c r="N9" s="2">
        <v>3.6822870000000001</v>
      </c>
      <c r="O9" s="1">
        <v>11</v>
      </c>
      <c r="P9" s="2">
        <v>4.0878750000000004</v>
      </c>
      <c r="Q9" s="1">
        <v>5</v>
      </c>
      <c r="R9" s="2">
        <v>4.0247580000000003</v>
      </c>
      <c r="S9" s="1">
        <v>11</v>
      </c>
      <c r="T9" s="2">
        <v>4.253336</v>
      </c>
      <c r="U9" s="1">
        <v>11</v>
      </c>
    </row>
    <row r="10" spans="1:21" x14ac:dyDescent="0.2">
      <c r="A10" s="1" t="s">
        <v>307</v>
      </c>
      <c r="B10" s="1" t="s">
        <v>306</v>
      </c>
      <c r="C10" s="2">
        <v>3.9961190000000002</v>
      </c>
      <c r="D10" s="2">
        <v>3.8589639999999998</v>
      </c>
      <c r="E10" s="2">
        <v>4.1332750000000003</v>
      </c>
      <c r="F10" s="1">
        <v>7</v>
      </c>
      <c r="G10" s="1">
        <v>2</v>
      </c>
      <c r="H10" s="1">
        <v>15</v>
      </c>
      <c r="I10" s="2">
        <f>(C10-1)*100/($C$4-1)</f>
        <v>93.586487847358867</v>
      </c>
      <c r="J10" s="2">
        <v>3.8870819999999999</v>
      </c>
      <c r="K10" s="1">
        <v>6</v>
      </c>
      <c r="L10" s="2">
        <v>4.0637869999999996</v>
      </c>
      <c r="M10" s="1">
        <v>6</v>
      </c>
      <c r="N10" s="2">
        <v>3.5800939999999999</v>
      </c>
      <c r="O10" s="1">
        <v>15</v>
      </c>
      <c r="P10" s="2">
        <v>4.099996</v>
      </c>
      <c r="Q10" s="1">
        <v>3</v>
      </c>
      <c r="R10" s="2">
        <v>4.080114</v>
      </c>
      <c r="S10" s="1">
        <v>8</v>
      </c>
      <c r="T10" s="2">
        <v>4.3199439999999996</v>
      </c>
      <c r="U10" s="1">
        <v>6</v>
      </c>
    </row>
    <row r="11" spans="1:21" x14ac:dyDescent="0.2">
      <c r="A11" s="1" t="s">
        <v>305</v>
      </c>
      <c r="B11" s="1" t="s">
        <v>304</v>
      </c>
      <c r="C11" s="2">
        <v>3.9918589999999998</v>
      </c>
      <c r="D11" s="2">
        <v>3.8243</v>
      </c>
      <c r="E11" s="2">
        <v>4.1594189999999998</v>
      </c>
      <c r="F11" s="1">
        <v>8</v>
      </c>
      <c r="G11" s="1">
        <v>2</v>
      </c>
      <c r="H11" s="1">
        <v>17</v>
      </c>
      <c r="I11" s="2">
        <f>(C11-1)*100/($C$4-1)</f>
        <v>93.453422892919562</v>
      </c>
      <c r="J11" s="2">
        <v>3.9180579999999998</v>
      </c>
      <c r="K11" s="1">
        <v>4</v>
      </c>
      <c r="L11" s="2">
        <v>3.9587300000000001</v>
      </c>
      <c r="M11" s="1">
        <v>17</v>
      </c>
      <c r="N11" s="2">
        <v>3.5301589999999998</v>
      </c>
      <c r="O11" s="1">
        <v>19</v>
      </c>
      <c r="P11" s="2">
        <v>4.0078430000000003</v>
      </c>
      <c r="Q11" s="1">
        <v>9</v>
      </c>
      <c r="R11" s="2">
        <v>4.1760780000000004</v>
      </c>
      <c r="S11" s="1">
        <v>3</v>
      </c>
      <c r="T11" s="2">
        <v>4.4078429999999997</v>
      </c>
      <c r="U11" s="1">
        <v>2</v>
      </c>
    </row>
    <row r="12" spans="1:21" x14ac:dyDescent="0.2">
      <c r="A12" s="1" t="s">
        <v>303</v>
      </c>
      <c r="B12" s="1" t="s">
        <v>302</v>
      </c>
      <c r="C12" s="2">
        <v>3.9870570000000001</v>
      </c>
      <c r="D12" s="2">
        <v>3.9270770000000002</v>
      </c>
      <c r="E12" s="2">
        <v>4.0470370000000004</v>
      </c>
      <c r="F12" s="1">
        <v>9</v>
      </c>
      <c r="G12" s="1">
        <v>3</v>
      </c>
      <c r="H12" s="1">
        <v>11</v>
      </c>
      <c r="I12" s="2">
        <f>(C12-1)*100/($C$4-1)</f>
        <v>93.303428078079747</v>
      </c>
      <c r="J12" s="2">
        <v>3.7720050000000001</v>
      </c>
      <c r="K12" s="1">
        <v>11</v>
      </c>
      <c r="L12" s="2">
        <v>4.0327859999999998</v>
      </c>
      <c r="M12" s="1">
        <v>8</v>
      </c>
      <c r="N12" s="2">
        <v>3.672469</v>
      </c>
      <c r="O12" s="1">
        <v>13</v>
      </c>
      <c r="P12" s="2">
        <v>4.04983</v>
      </c>
      <c r="Q12" s="1">
        <v>7</v>
      </c>
      <c r="R12" s="2">
        <v>4.1079929999999996</v>
      </c>
      <c r="S12" s="1">
        <v>4</v>
      </c>
      <c r="T12" s="2">
        <v>4.3299370000000001</v>
      </c>
      <c r="U12" s="1">
        <v>5</v>
      </c>
    </row>
    <row r="13" spans="1:21" x14ac:dyDescent="0.2">
      <c r="A13" s="1" t="s">
        <v>301</v>
      </c>
      <c r="B13" s="1" t="s">
        <v>300</v>
      </c>
      <c r="C13" s="2">
        <v>3.9691480000000001</v>
      </c>
      <c r="D13" s="2">
        <v>3.6830319999999999</v>
      </c>
      <c r="E13" s="2">
        <v>4.2552640000000004</v>
      </c>
      <c r="F13" s="1">
        <v>10</v>
      </c>
      <c r="G13" s="1">
        <v>1</v>
      </c>
      <c r="H13" s="1">
        <v>21</v>
      </c>
      <c r="I13" s="2">
        <f>(C13-1)*100/($C$4-1)</f>
        <v>92.744024259053091</v>
      </c>
      <c r="J13" s="2">
        <v>3.8150460000000002</v>
      </c>
      <c r="K13" s="1">
        <v>8</v>
      </c>
      <c r="L13" s="2">
        <v>4.0034720000000004</v>
      </c>
      <c r="M13" s="1">
        <v>11</v>
      </c>
      <c r="N13" s="2">
        <v>3.562732</v>
      </c>
      <c r="O13" s="1">
        <v>16</v>
      </c>
      <c r="P13" s="2">
        <v>3.8872689999999999</v>
      </c>
      <c r="Q13" s="1">
        <v>15</v>
      </c>
      <c r="R13" s="2">
        <v>4.3231659999999996</v>
      </c>
      <c r="S13" s="1">
        <v>1</v>
      </c>
      <c r="T13" s="2">
        <v>4.2798610000000004</v>
      </c>
      <c r="U13" s="1">
        <v>8</v>
      </c>
    </row>
    <row r="14" spans="1:21" x14ac:dyDescent="0.2">
      <c r="A14" s="1" t="s">
        <v>299</v>
      </c>
      <c r="B14" s="1" t="s">
        <v>298</v>
      </c>
      <c r="C14" s="2">
        <v>3.9564370000000002</v>
      </c>
      <c r="D14" s="2">
        <v>3.859022</v>
      </c>
      <c r="E14" s="2">
        <v>4.053852</v>
      </c>
      <c r="F14" s="1">
        <v>11</v>
      </c>
      <c r="G14" s="1">
        <v>2</v>
      </c>
      <c r="H14" s="1">
        <v>15</v>
      </c>
      <c r="I14" s="2">
        <f>(C14-1)*100/($C$4-1)</f>
        <v>92.346984673166233</v>
      </c>
      <c r="J14" s="2">
        <v>3.6314030000000002</v>
      </c>
      <c r="K14" s="1">
        <v>15</v>
      </c>
      <c r="L14" s="2">
        <v>4.0212919999999999</v>
      </c>
      <c r="M14" s="1">
        <v>10</v>
      </c>
      <c r="N14" s="2">
        <v>3.8473700000000002</v>
      </c>
      <c r="O14" s="1">
        <v>5</v>
      </c>
      <c r="P14" s="2">
        <v>3.919378</v>
      </c>
      <c r="Q14" s="1">
        <v>13</v>
      </c>
      <c r="R14" s="2">
        <v>3.9602789999999999</v>
      </c>
      <c r="S14" s="1">
        <v>13</v>
      </c>
      <c r="T14" s="2">
        <v>4.3762920000000003</v>
      </c>
      <c r="U14" s="1">
        <v>4</v>
      </c>
    </row>
    <row r="15" spans="1:21" x14ac:dyDescent="0.2">
      <c r="A15" s="1" t="s">
        <v>297</v>
      </c>
      <c r="B15" s="1" t="s">
        <v>296</v>
      </c>
      <c r="C15" s="2">
        <v>3.920067</v>
      </c>
      <c r="D15" s="2">
        <v>3.8277359999999998</v>
      </c>
      <c r="E15" s="2">
        <v>4.0123990000000003</v>
      </c>
      <c r="F15" s="1">
        <v>12</v>
      </c>
      <c r="G15" s="1">
        <v>7</v>
      </c>
      <c r="H15" s="1">
        <v>17</v>
      </c>
      <c r="I15" s="2">
        <f>(C15-1)*100/($C$4-1)</f>
        <v>91.21093481566443</v>
      </c>
      <c r="J15" s="2">
        <v>3.814775</v>
      </c>
      <c r="K15" s="1">
        <v>9</v>
      </c>
      <c r="L15" s="2">
        <v>3.969004</v>
      </c>
      <c r="M15" s="1">
        <v>15</v>
      </c>
      <c r="N15" s="2">
        <v>3.7681290000000001</v>
      </c>
      <c r="O15" s="1">
        <v>8</v>
      </c>
      <c r="P15" s="2">
        <v>3.9316620000000002</v>
      </c>
      <c r="Q15" s="1">
        <v>12</v>
      </c>
      <c r="R15" s="2">
        <v>3.918231</v>
      </c>
      <c r="S15" s="1">
        <v>15</v>
      </c>
      <c r="T15" s="2">
        <v>4.1391369999999998</v>
      </c>
      <c r="U15" s="1">
        <v>15</v>
      </c>
    </row>
    <row r="16" spans="1:21" x14ac:dyDescent="0.2">
      <c r="A16" s="1" t="s">
        <v>295</v>
      </c>
      <c r="B16" s="1" t="s">
        <v>294</v>
      </c>
      <c r="C16" s="2">
        <v>3.9013719999999998</v>
      </c>
      <c r="D16" s="2">
        <v>3.7983159999999998</v>
      </c>
      <c r="E16" s="2">
        <v>4.004429</v>
      </c>
      <c r="F16" s="1">
        <v>13</v>
      </c>
      <c r="G16" s="1">
        <v>7</v>
      </c>
      <c r="H16" s="1">
        <v>17</v>
      </c>
      <c r="I16" s="2">
        <f>(C16-1)*100/($C$4-1)</f>
        <v>90.626979575466564</v>
      </c>
      <c r="J16" s="2">
        <v>3.6292620000000002</v>
      </c>
      <c r="K16" s="1">
        <v>16</v>
      </c>
      <c r="L16" s="2">
        <v>4.0218350000000003</v>
      </c>
      <c r="M16" s="1">
        <v>9</v>
      </c>
      <c r="N16" s="2">
        <v>3.5149330000000001</v>
      </c>
      <c r="O16" s="1">
        <v>20</v>
      </c>
      <c r="P16" s="2">
        <v>3.9668589999999999</v>
      </c>
      <c r="Q16" s="1">
        <v>11</v>
      </c>
      <c r="R16" s="2">
        <v>4.0962709999999998</v>
      </c>
      <c r="S16" s="1">
        <v>5</v>
      </c>
      <c r="T16" s="2">
        <v>4.2418300000000002</v>
      </c>
      <c r="U16" s="1">
        <v>13</v>
      </c>
    </row>
    <row r="17" spans="1:21" x14ac:dyDescent="0.2">
      <c r="A17" s="1" t="s">
        <v>293</v>
      </c>
      <c r="B17" s="1" t="s">
        <v>292</v>
      </c>
      <c r="C17" s="2">
        <v>3.8851290000000001</v>
      </c>
      <c r="D17" s="2">
        <v>3.829968</v>
      </c>
      <c r="E17" s="2">
        <v>3.9402910000000002</v>
      </c>
      <c r="F17" s="1">
        <v>14</v>
      </c>
      <c r="G17" s="1">
        <v>12</v>
      </c>
      <c r="H17" s="1">
        <v>17</v>
      </c>
      <c r="I17" s="2">
        <f>(C17-1)*100/($C$4-1)</f>
        <v>90.119614773833291</v>
      </c>
      <c r="J17" s="2">
        <v>3.7751420000000002</v>
      </c>
      <c r="K17" s="1">
        <v>10</v>
      </c>
      <c r="L17" s="2">
        <v>4.0451319999999997</v>
      </c>
      <c r="M17" s="1">
        <v>7</v>
      </c>
      <c r="N17" s="2">
        <v>3.5063249999999999</v>
      </c>
      <c r="O17" s="1">
        <v>23</v>
      </c>
      <c r="P17" s="2">
        <v>3.8742529999999999</v>
      </c>
      <c r="Q17" s="1">
        <v>16</v>
      </c>
      <c r="R17" s="2">
        <v>4.0917510000000004</v>
      </c>
      <c r="S17" s="1">
        <v>6</v>
      </c>
      <c r="T17" s="2">
        <v>4.0836230000000002</v>
      </c>
      <c r="U17" s="1">
        <v>19</v>
      </c>
    </row>
    <row r="18" spans="1:21" x14ac:dyDescent="0.2">
      <c r="A18" s="1" t="s">
        <v>291</v>
      </c>
      <c r="B18" s="1" t="s">
        <v>290</v>
      </c>
      <c r="C18" s="2">
        <v>3.8756439999999999</v>
      </c>
      <c r="D18" s="2">
        <v>3.6346400000000001</v>
      </c>
      <c r="E18" s="2">
        <v>4.1166489999999998</v>
      </c>
      <c r="F18" s="1">
        <v>15</v>
      </c>
      <c r="G18" s="1">
        <v>2</v>
      </c>
      <c r="H18" s="1">
        <v>23</v>
      </c>
      <c r="I18" s="2">
        <f>(C18-1)*100/($C$4-1)</f>
        <v>89.823342216824642</v>
      </c>
      <c r="J18" s="2">
        <v>3.7086250000000001</v>
      </c>
      <c r="K18" s="1">
        <v>13</v>
      </c>
      <c r="L18" s="2">
        <v>3.9906760000000001</v>
      </c>
      <c r="M18" s="1">
        <v>13</v>
      </c>
      <c r="N18" s="2">
        <v>3.4289049999999999</v>
      </c>
      <c r="O18" s="1">
        <v>27</v>
      </c>
      <c r="P18" s="2">
        <v>4.0163169999999999</v>
      </c>
      <c r="Q18" s="1">
        <v>8</v>
      </c>
      <c r="R18" s="2">
        <v>3.9163169999999998</v>
      </c>
      <c r="S18" s="1">
        <v>16</v>
      </c>
      <c r="T18" s="2">
        <v>4.2553070000000002</v>
      </c>
      <c r="U18" s="1">
        <v>9</v>
      </c>
    </row>
    <row r="19" spans="1:21" x14ac:dyDescent="0.2">
      <c r="A19" s="1" t="s">
        <v>289</v>
      </c>
      <c r="B19" s="1" t="s">
        <v>288</v>
      </c>
      <c r="C19" s="2">
        <v>3.8444750000000001</v>
      </c>
      <c r="D19" s="2">
        <v>3.7917019999999999</v>
      </c>
      <c r="E19" s="2">
        <v>3.8972470000000001</v>
      </c>
      <c r="F19" s="1">
        <v>16</v>
      </c>
      <c r="G19" s="1">
        <v>14</v>
      </c>
      <c r="H19" s="1">
        <v>17</v>
      </c>
      <c r="I19" s="2">
        <f>(C19-1)*100/($C$4-1)</f>
        <v>88.849750300177035</v>
      </c>
      <c r="J19" s="2">
        <v>3.5896430000000001</v>
      </c>
      <c r="K19" s="1">
        <v>19</v>
      </c>
      <c r="L19" s="2">
        <v>3.99688</v>
      </c>
      <c r="M19" s="1">
        <v>12</v>
      </c>
      <c r="N19" s="2">
        <v>3.5452949999999999</v>
      </c>
      <c r="O19" s="1">
        <v>17</v>
      </c>
      <c r="P19" s="2">
        <v>3.8383379999999998</v>
      </c>
      <c r="Q19" s="1">
        <v>17</v>
      </c>
      <c r="R19" s="2">
        <v>3.9993650000000001</v>
      </c>
      <c r="S19" s="1">
        <v>12</v>
      </c>
      <c r="T19" s="2">
        <v>4.152037</v>
      </c>
      <c r="U19" s="1">
        <v>14</v>
      </c>
    </row>
    <row r="20" spans="1:21" x14ac:dyDescent="0.2">
      <c r="A20" s="1" t="s">
        <v>287</v>
      </c>
      <c r="B20" s="1" t="s">
        <v>286</v>
      </c>
      <c r="C20" s="2">
        <v>3.8313359999999999</v>
      </c>
      <c r="D20" s="2">
        <v>3.7403309999999999</v>
      </c>
      <c r="E20" s="2">
        <v>3.9223400000000002</v>
      </c>
      <c r="F20" s="1">
        <v>17</v>
      </c>
      <c r="G20" s="1">
        <v>12</v>
      </c>
      <c r="H20" s="1">
        <v>18</v>
      </c>
      <c r="I20" s="2">
        <f>(C20-1)*100/($C$4-1)</f>
        <v>88.439341747036636</v>
      </c>
      <c r="J20" s="2">
        <v>3.6208879999999999</v>
      </c>
      <c r="K20" s="1">
        <v>17</v>
      </c>
      <c r="L20" s="2">
        <v>3.8398699999999999</v>
      </c>
      <c r="M20" s="1">
        <v>19</v>
      </c>
      <c r="N20" s="2">
        <v>3.82952</v>
      </c>
      <c r="O20" s="1">
        <v>6</v>
      </c>
      <c r="P20" s="2">
        <v>3.800271</v>
      </c>
      <c r="Q20" s="1">
        <v>18</v>
      </c>
      <c r="R20" s="2">
        <v>3.8345020000000001</v>
      </c>
      <c r="S20" s="1">
        <v>19</v>
      </c>
      <c r="T20" s="2">
        <v>4.0633689999999998</v>
      </c>
      <c r="U20" s="1">
        <v>20</v>
      </c>
    </row>
    <row r="21" spans="1:21" x14ac:dyDescent="0.2">
      <c r="A21" s="1" t="s">
        <v>285</v>
      </c>
      <c r="B21" s="1" t="s">
        <v>284</v>
      </c>
      <c r="C21" s="2">
        <v>3.7514310000000002</v>
      </c>
      <c r="D21" s="2">
        <v>3.601817</v>
      </c>
      <c r="E21" s="2">
        <v>3.901046</v>
      </c>
      <c r="F21" s="1">
        <v>18</v>
      </c>
      <c r="G21" s="1">
        <v>14</v>
      </c>
      <c r="H21" s="1">
        <v>26</v>
      </c>
      <c r="I21" s="2">
        <f>(C21-1)*100/($C$4-1)</f>
        <v>85.943436774155657</v>
      </c>
      <c r="J21" s="2">
        <v>3.8671859999999998</v>
      </c>
      <c r="K21" s="1">
        <v>7</v>
      </c>
      <c r="L21" s="2">
        <v>3.9684309999999998</v>
      </c>
      <c r="M21" s="1">
        <v>16</v>
      </c>
      <c r="N21" s="2">
        <v>3.2472059999999998</v>
      </c>
      <c r="O21" s="1">
        <v>40</v>
      </c>
      <c r="P21" s="2">
        <v>3.7094450000000001</v>
      </c>
      <c r="Q21" s="1">
        <v>21</v>
      </c>
      <c r="R21" s="2">
        <v>3.816621</v>
      </c>
      <c r="S21" s="1">
        <v>20</v>
      </c>
      <c r="T21" s="2">
        <v>3.976111</v>
      </c>
      <c r="U21" s="1">
        <v>21</v>
      </c>
    </row>
    <row r="22" spans="1:21" x14ac:dyDescent="0.2">
      <c r="A22" s="1" t="s">
        <v>283</v>
      </c>
      <c r="B22" s="1" t="s">
        <v>282</v>
      </c>
      <c r="C22" s="2">
        <v>3.7391519999999998</v>
      </c>
      <c r="D22" s="2">
        <v>3.6769769999999999</v>
      </c>
      <c r="E22" s="2">
        <v>3.8013270000000001</v>
      </c>
      <c r="F22" s="1">
        <v>19</v>
      </c>
      <c r="G22" s="1">
        <v>18</v>
      </c>
      <c r="H22" s="1">
        <v>22</v>
      </c>
      <c r="I22" s="2">
        <f>(C22-1)*100/($C$4-1)</f>
        <v>85.559891099141495</v>
      </c>
      <c r="J22" s="2">
        <v>3.4720439999999999</v>
      </c>
      <c r="K22" s="1">
        <v>23</v>
      </c>
      <c r="L22" s="2">
        <v>3.8529040000000001</v>
      </c>
      <c r="M22" s="1">
        <v>18</v>
      </c>
      <c r="N22" s="2">
        <v>3.5120589999999998</v>
      </c>
      <c r="O22" s="1">
        <v>21</v>
      </c>
      <c r="P22" s="2">
        <v>3.6550419999999999</v>
      </c>
      <c r="Q22" s="1">
        <v>24</v>
      </c>
      <c r="R22" s="2">
        <v>3.854946</v>
      </c>
      <c r="S22" s="1">
        <v>18</v>
      </c>
      <c r="T22" s="2">
        <v>4.126595</v>
      </c>
      <c r="U22" s="1">
        <v>17</v>
      </c>
    </row>
    <row r="23" spans="1:21" x14ac:dyDescent="0.2">
      <c r="A23" s="1" t="s">
        <v>281</v>
      </c>
      <c r="B23" s="1" t="s">
        <v>280</v>
      </c>
      <c r="C23" s="2">
        <v>3.726715</v>
      </c>
      <c r="D23" s="2">
        <v>3.5609030000000002</v>
      </c>
      <c r="E23" s="2">
        <v>3.8925269999999998</v>
      </c>
      <c r="F23" s="1">
        <v>20</v>
      </c>
      <c r="G23" s="1">
        <v>14</v>
      </c>
      <c r="H23" s="1">
        <v>27</v>
      </c>
      <c r="I23" s="2">
        <f>(C23-1)*100/($C$4-1)</f>
        <v>85.171410151169269</v>
      </c>
      <c r="J23" s="2">
        <v>3.6039300000000001</v>
      </c>
      <c r="K23" s="1">
        <v>18</v>
      </c>
      <c r="L23" s="2">
        <v>3.7504960000000001</v>
      </c>
      <c r="M23" s="1">
        <v>21</v>
      </c>
      <c r="N23" s="2">
        <v>3.3816619999999999</v>
      </c>
      <c r="O23" s="1">
        <v>30</v>
      </c>
      <c r="P23" s="2">
        <v>3.8980399999999999</v>
      </c>
      <c r="Q23" s="1">
        <v>14</v>
      </c>
      <c r="R23" s="2">
        <v>3.8098040000000002</v>
      </c>
      <c r="S23" s="1">
        <v>21</v>
      </c>
      <c r="T23" s="2">
        <v>3.9605030000000001</v>
      </c>
      <c r="U23" s="1">
        <v>22</v>
      </c>
    </row>
    <row r="24" spans="1:21" x14ac:dyDescent="0.2">
      <c r="A24" s="1" t="s">
        <v>279</v>
      </c>
      <c r="B24" s="1" t="s">
        <v>278</v>
      </c>
      <c r="C24" s="2">
        <v>3.6966230000000002</v>
      </c>
      <c r="D24" s="2">
        <v>3.450002</v>
      </c>
      <c r="E24" s="2">
        <v>3.943244</v>
      </c>
      <c r="F24" s="1">
        <v>21</v>
      </c>
      <c r="G24" s="1">
        <v>12</v>
      </c>
      <c r="H24" s="1">
        <v>30</v>
      </c>
      <c r="I24" s="2">
        <f>(C24-1)*100/($C$4-1)</f>
        <v>84.23145930398907</v>
      </c>
      <c r="J24" s="2">
        <v>3.52</v>
      </c>
      <c r="K24" s="1">
        <v>21</v>
      </c>
      <c r="L24" s="2">
        <v>3.6910189999999998</v>
      </c>
      <c r="M24" s="1">
        <v>24</v>
      </c>
      <c r="N24" s="2">
        <v>3.4290289999999999</v>
      </c>
      <c r="O24" s="1">
        <v>26</v>
      </c>
      <c r="P24" s="2">
        <v>3.6886359999999998</v>
      </c>
      <c r="Q24" s="1">
        <v>23</v>
      </c>
      <c r="R24" s="2">
        <v>3.9441920000000001</v>
      </c>
      <c r="S24" s="1">
        <v>14</v>
      </c>
      <c r="T24" s="2">
        <v>3.9426269999999999</v>
      </c>
      <c r="U24" s="1">
        <v>24</v>
      </c>
    </row>
    <row r="25" spans="1:21" x14ac:dyDescent="0.2">
      <c r="A25" s="1" t="s">
        <v>277</v>
      </c>
      <c r="B25" s="1" t="s">
        <v>276</v>
      </c>
      <c r="C25" s="2">
        <v>3.6803300000000001</v>
      </c>
      <c r="D25" s="2">
        <v>3.5265230000000001</v>
      </c>
      <c r="E25" s="2">
        <v>3.8341379999999998</v>
      </c>
      <c r="F25" s="1">
        <v>22</v>
      </c>
      <c r="G25" s="1">
        <v>17</v>
      </c>
      <c r="H25" s="1">
        <v>28</v>
      </c>
      <c r="I25" s="2">
        <f>(C25-1)*100/($C$4-1)</f>
        <v>83.722532707115903</v>
      </c>
      <c r="J25" s="2">
        <v>3.286673</v>
      </c>
      <c r="K25" s="1">
        <v>30</v>
      </c>
      <c r="L25" s="2">
        <v>3.4645999999999999</v>
      </c>
      <c r="M25" s="1">
        <v>26</v>
      </c>
      <c r="N25" s="2">
        <v>3.7460089999999999</v>
      </c>
      <c r="O25" s="1">
        <v>10</v>
      </c>
      <c r="P25" s="2">
        <v>3.7156319999999998</v>
      </c>
      <c r="Q25" s="1">
        <v>20</v>
      </c>
      <c r="R25" s="2">
        <v>3.703427</v>
      </c>
      <c r="S25" s="1">
        <v>24</v>
      </c>
      <c r="T25" s="2">
        <v>4.1336199999999996</v>
      </c>
      <c r="U25" s="1">
        <v>16</v>
      </c>
    </row>
    <row r="26" spans="1:21" x14ac:dyDescent="0.2">
      <c r="A26" s="1" t="s">
        <v>275</v>
      </c>
      <c r="B26" s="1" t="s">
        <v>274</v>
      </c>
      <c r="C26" s="2">
        <v>3.6431840000000002</v>
      </c>
      <c r="D26" s="2">
        <v>3.4394399999999998</v>
      </c>
      <c r="E26" s="2">
        <v>3.8469280000000001</v>
      </c>
      <c r="F26" s="1">
        <v>23</v>
      </c>
      <c r="G26" s="1">
        <v>16</v>
      </c>
      <c r="H26" s="1">
        <v>30</v>
      </c>
      <c r="I26" s="2">
        <f>(C26-1)*100/($C$4-1)</f>
        <v>82.562243787490885</v>
      </c>
      <c r="J26" s="2">
        <v>3.1713499999999999</v>
      </c>
      <c r="K26" s="1">
        <v>35</v>
      </c>
      <c r="L26" s="2">
        <v>3.247268</v>
      </c>
      <c r="M26" s="1">
        <v>32</v>
      </c>
      <c r="N26" s="2">
        <v>3.826492</v>
      </c>
      <c r="O26" s="1">
        <v>7</v>
      </c>
      <c r="P26" s="2">
        <v>3.7059380000000002</v>
      </c>
      <c r="Q26" s="1">
        <v>22</v>
      </c>
      <c r="R26" s="2">
        <v>3.7193070000000001</v>
      </c>
      <c r="S26" s="1">
        <v>23</v>
      </c>
      <c r="T26" s="2">
        <v>4.1259220000000001</v>
      </c>
      <c r="U26" s="1">
        <v>18</v>
      </c>
    </row>
    <row r="27" spans="1:21" x14ac:dyDescent="0.2">
      <c r="A27" s="1" t="s">
        <v>273</v>
      </c>
      <c r="B27" s="1" t="s">
        <v>272</v>
      </c>
      <c r="C27" s="2">
        <v>3.6299980000000001</v>
      </c>
      <c r="D27" s="2">
        <v>3.4492780000000001</v>
      </c>
      <c r="E27" s="2">
        <v>3.8107190000000002</v>
      </c>
      <c r="F27" s="1">
        <v>24</v>
      </c>
      <c r="G27" s="1">
        <v>18</v>
      </c>
      <c r="H27" s="1">
        <v>30</v>
      </c>
      <c r="I27" s="2">
        <f>(C27-1)*100/($C$4-1)</f>
        <v>82.150367146824976</v>
      </c>
      <c r="J27" s="2">
        <v>3.5279560000000001</v>
      </c>
      <c r="K27" s="1">
        <v>20</v>
      </c>
      <c r="L27" s="2">
        <v>3.6314419999999998</v>
      </c>
      <c r="M27" s="1">
        <v>25</v>
      </c>
      <c r="N27" s="2">
        <v>3.3714249999999999</v>
      </c>
      <c r="O27" s="1">
        <v>31</v>
      </c>
      <c r="P27" s="2">
        <v>3.757625</v>
      </c>
      <c r="Q27" s="1">
        <v>19</v>
      </c>
      <c r="R27" s="2">
        <v>3.6147399999999998</v>
      </c>
      <c r="S27" s="1">
        <v>29</v>
      </c>
      <c r="T27" s="2">
        <v>3.9038629999999999</v>
      </c>
      <c r="U27" s="1">
        <v>26</v>
      </c>
    </row>
    <row r="28" spans="1:21" x14ac:dyDescent="0.2">
      <c r="A28" s="1" t="s">
        <v>271</v>
      </c>
      <c r="B28" s="1" t="s">
        <v>270</v>
      </c>
      <c r="C28" s="2">
        <v>3.6121639999999999</v>
      </c>
      <c r="D28" s="2">
        <v>3.4887199999999998</v>
      </c>
      <c r="E28" s="2">
        <v>3.7356090000000002</v>
      </c>
      <c r="F28" s="1">
        <v>25</v>
      </c>
      <c r="G28" s="1">
        <v>20</v>
      </c>
      <c r="H28" s="1">
        <v>29</v>
      </c>
      <c r="I28" s="2">
        <f>(C28-1)*100/($C$4-1)</f>
        <v>81.593306020658176</v>
      </c>
      <c r="J28" s="2">
        <v>3.4025880000000002</v>
      </c>
      <c r="K28" s="1">
        <v>25</v>
      </c>
      <c r="L28" s="2">
        <v>3.7255280000000002</v>
      </c>
      <c r="M28" s="1">
        <v>22</v>
      </c>
      <c r="N28" s="2">
        <v>3.3302459999999998</v>
      </c>
      <c r="O28" s="1">
        <v>33</v>
      </c>
      <c r="P28" s="2">
        <v>3.5877629999999998</v>
      </c>
      <c r="Q28" s="1">
        <v>28</v>
      </c>
      <c r="R28" s="2">
        <v>3.7541190000000002</v>
      </c>
      <c r="S28" s="1">
        <v>22</v>
      </c>
      <c r="T28" s="2">
        <v>3.9195739999999999</v>
      </c>
      <c r="U28" s="1">
        <v>25</v>
      </c>
    </row>
    <row r="29" spans="1:21" x14ac:dyDescent="0.2">
      <c r="A29" s="1" t="s">
        <v>269</v>
      </c>
      <c r="B29" s="1" t="s">
        <v>268</v>
      </c>
      <c r="C29" s="2">
        <v>3.6051470000000001</v>
      </c>
      <c r="D29" s="2">
        <v>3.547488</v>
      </c>
      <c r="E29" s="2">
        <v>3.6628059999999998</v>
      </c>
      <c r="F29" s="1">
        <v>26</v>
      </c>
      <c r="G29" s="1">
        <v>23</v>
      </c>
      <c r="H29" s="1">
        <v>27</v>
      </c>
      <c r="I29" s="2">
        <f>(C29-1)*100/($C$4-1)</f>
        <v>81.374123676690886</v>
      </c>
      <c r="J29" s="2">
        <v>3.2859240000000001</v>
      </c>
      <c r="K29" s="1">
        <v>31</v>
      </c>
      <c r="L29" s="2">
        <v>3.7532179999999999</v>
      </c>
      <c r="M29" s="1">
        <v>20</v>
      </c>
      <c r="N29" s="2">
        <v>3.5357150000000002</v>
      </c>
      <c r="O29" s="1">
        <v>18</v>
      </c>
      <c r="P29" s="2">
        <v>3.5949749999999998</v>
      </c>
      <c r="Q29" s="1">
        <v>27</v>
      </c>
      <c r="R29" s="2">
        <v>3.648469</v>
      </c>
      <c r="S29" s="1">
        <v>27</v>
      </c>
      <c r="T29" s="2">
        <v>3.8400150000000002</v>
      </c>
      <c r="U29" s="1">
        <v>27</v>
      </c>
    </row>
    <row r="30" spans="1:21" x14ac:dyDescent="0.2">
      <c r="A30" s="1" t="s">
        <v>267</v>
      </c>
      <c r="B30" s="1" t="s">
        <v>266</v>
      </c>
      <c r="C30" s="2">
        <v>3.5997219999999999</v>
      </c>
      <c r="D30" s="2">
        <v>3.4164020000000002</v>
      </c>
      <c r="E30" s="2">
        <v>3.7830430000000002</v>
      </c>
      <c r="F30" s="1">
        <v>27</v>
      </c>
      <c r="G30" s="1">
        <v>18</v>
      </c>
      <c r="H30" s="1">
        <v>31</v>
      </c>
      <c r="I30" s="2">
        <f>(C30-1)*100/($C$4-1)</f>
        <v>81.204668893161951</v>
      </c>
      <c r="J30" s="2">
        <v>3.474167</v>
      </c>
      <c r="K30" s="1">
        <v>22</v>
      </c>
      <c r="L30" s="2">
        <v>3.7201930000000001</v>
      </c>
      <c r="M30" s="1">
        <v>23</v>
      </c>
      <c r="N30" s="2">
        <v>3.4768750000000002</v>
      </c>
      <c r="O30" s="1">
        <v>24</v>
      </c>
      <c r="P30" s="2">
        <v>3.5650539999999999</v>
      </c>
      <c r="Q30" s="1">
        <v>30</v>
      </c>
      <c r="R30" s="2">
        <v>3.6708120000000002</v>
      </c>
      <c r="S30" s="1">
        <v>25</v>
      </c>
      <c r="T30" s="2">
        <v>3.7206169999999998</v>
      </c>
      <c r="U30" s="1">
        <v>35</v>
      </c>
    </row>
    <row r="31" spans="1:21" x14ac:dyDescent="0.2">
      <c r="A31" s="1" t="s">
        <v>265</v>
      </c>
      <c r="B31" s="1" t="s">
        <v>264</v>
      </c>
      <c r="C31" s="2">
        <v>3.539533</v>
      </c>
      <c r="D31" s="2">
        <v>3.3523239999999999</v>
      </c>
      <c r="E31" s="2">
        <v>3.7267420000000002</v>
      </c>
      <c r="F31" s="1">
        <v>28</v>
      </c>
      <c r="G31" s="1">
        <v>20</v>
      </c>
      <c r="H31" s="1">
        <v>33</v>
      </c>
      <c r="I31" s="2">
        <f>(C31-1)*100/($C$4-1)</f>
        <v>79.32461101927754</v>
      </c>
      <c r="J31" s="2">
        <v>3.2534580000000002</v>
      </c>
      <c r="K31" s="1">
        <v>33</v>
      </c>
      <c r="L31" s="2">
        <v>3.2089020000000001</v>
      </c>
      <c r="M31" s="1">
        <v>35</v>
      </c>
      <c r="N31" s="2">
        <v>3.678499</v>
      </c>
      <c r="O31" s="1">
        <v>12</v>
      </c>
      <c r="P31" s="2">
        <v>3.580044</v>
      </c>
      <c r="Q31" s="1">
        <v>29</v>
      </c>
      <c r="R31" s="2">
        <v>3.5056630000000002</v>
      </c>
      <c r="S31" s="1">
        <v>31</v>
      </c>
      <c r="T31" s="2">
        <v>3.9542619999999999</v>
      </c>
      <c r="U31" s="1">
        <v>23</v>
      </c>
    </row>
    <row r="32" spans="1:21" x14ac:dyDescent="0.2">
      <c r="A32" s="1" t="s">
        <v>263</v>
      </c>
      <c r="B32" s="1" t="s">
        <v>262</v>
      </c>
      <c r="C32" s="2">
        <v>3.5104129999999998</v>
      </c>
      <c r="D32" s="2">
        <v>3.2847309999999998</v>
      </c>
      <c r="E32" s="2">
        <v>3.7360950000000002</v>
      </c>
      <c r="F32" s="1">
        <v>29</v>
      </c>
      <c r="G32" s="1">
        <v>20</v>
      </c>
      <c r="H32" s="1">
        <v>37</v>
      </c>
      <c r="I32" s="2">
        <f>(C32-1)*100/($C$4-1)</f>
        <v>78.415021471560948</v>
      </c>
      <c r="J32" s="2">
        <v>3.3577159999999999</v>
      </c>
      <c r="K32" s="1">
        <v>26</v>
      </c>
      <c r="L32" s="2">
        <v>3.2933349999999999</v>
      </c>
      <c r="M32" s="1">
        <v>29</v>
      </c>
      <c r="N32" s="2">
        <v>3.4239769999999998</v>
      </c>
      <c r="O32" s="1">
        <v>28</v>
      </c>
      <c r="P32" s="2">
        <v>3.5958559999999999</v>
      </c>
      <c r="Q32" s="1">
        <v>26</v>
      </c>
      <c r="R32" s="2">
        <v>3.6230340000000001</v>
      </c>
      <c r="S32" s="1">
        <v>28</v>
      </c>
      <c r="T32" s="2">
        <v>3.756367</v>
      </c>
      <c r="U32" s="1">
        <v>33</v>
      </c>
    </row>
    <row r="33" spans="1:21" x14ac:dyDescent="0.2">
      <c r="A33" s="1" t="s">
        <v>261</v>
      </c>
      <c r="B33" s="1" t="s">
        <v>260</v>
      </c>
      <c r="C33" s="2">
        <v>3.474205</v>
      </c>
      <c r="D33" s="2">
        <v>3.2065929999999998</v>
      </c>
      <c r="E33" s="2">
        <v>3.7418170000000002</v>
      </c>
      <c r="F33" s="1">
        <v>30</v>
      </c>
      <c r="G33" s="1">
        <v>19</v>
      </c>
      <c r="H33" s="1">
        <v>41</v>
      </c>
      <c r="I33" s="2">
        <f>(C33-1)*100/($C$4-1)</f>
        <v>77.284031830636422</v>
      </c>
      <c r="J33" s="2">
        <v>3</v>
      </c>
      <c r="K33" s="1">
        <v>38</v>
      </c>
      <c r="L33" s="2">
        <v>3.375</v>
      </c>
      <c r="M33" s="1">
        <v>27</v>
      </c>
      <c r="N33" s="2">
        <v>3.75</v>
      </c>
      <c r="O33" s="1">
        <v>9</v>
      </c>
      <c r="P33" s="2">
        <v>3.4186510000000001</v>
      </c>
      <c r="Q33" s="1">
        <v>31</v>
      </c>
      <c r="R33" s="2">
        <v>3.5615079999999999</v>
      </c>
      <c r="S33" s="1">
        <v>30</v>
      </c>
      <c r="T33" s="2">
        <v>3.7043650000000001</v>
      </c>
      <c r="U33" s="1">
        <v>36</v>
      </c>
    </row>
    <row r="34" spans="1:21" x14ac:dyDescent="0.2">
      <c r="A34" s="1" t="s">
        <v>259</v>
      </c>
      <c r="B34" s="1" t="s">
        <v>258</v>
      </c>
      <c r="C34" s="2">
        <v>3.4187639999999999</v>
      </c>
      <c r="D34" s="2">
        <v>3.2494040000000002</v>
      </c>
      <c r="E34" s="2">
        <v>3.588123</v>
      </c>
      <c r="F34" s="1">
        <v>31</v>
      </c>
      <c r="G34" s="1">
        <v>28</v>
      </c>
      <c r="H34" s="1">
        <v>39</v>
      </c>
      <c r="I34" s="2">
        <f>(C34-1)*100/($C$4-1)</f>
        <v>75.55228203273272</v>
      </c>
      <c r="J34" s="2">
        <v>3.3548659999999999</v>
      </c>
      <c r="K34" s="1">
        <v>27</v>
      </c>
      <c r="L34" s="2">
        <v>3.2709450000000002</v>
      </c>
      <c r="M34" s="1">
        <v>30</v>
      </c>
      <c r="N34" s="2">
        <v>3.2218800000000001</v>
      </c>
      <c r="O34" s="1">
        <v>43</v>
      </c>
      <c r="P34" s="2">
        <v>3.2132070000000001</v>
      </c>
      <c r="Q34" s="1">
        <v>38</v>
      </c>
      <c r="R34" s="2">
        <v>3.6705079999999999</v>
      </c>
      <c r="S34" s="1">
        <v>26</v>
      </c>
      <c r="T34" s="2">
        <v>3.7859409999999998</v>
      </c>
      <c r="U34" s="1">
        <v>32</v>
      </c>
    </row>
    <row r="35" spans="1:21" x14ac:dyDescent="0.2">
      <c r="A35" s="1" t="s">
        <v>257</v>
      </c>
      <c r="B35" s="1" t="s">
        <v>256</v>
      </c>
      <c r="C35" s="2">
        <v>3.4110580000000001</v>
      </c>
      <c r="D35" s="2">
        <v>3.291623</v>
      </c>
      <c r="E35" s="2">
        <v>3.5304929999999999</v>
      </c>
      <c r="F35" s="1">
        <v>32</v>
      </c>
      <c r="G35" s="1">
        <v>29</v>
      </c>
      <c r="H35" s="1">
        <v>37</v>
      </c>
      <c r="I35" s="2">
        <f>(C35-1)*100/($C$4-1)</f>
        <v>75.311578150359651</v>
      </c>
      <c r="J35" s="2">
        <v>3.1424970000000001</v>
      </c>
      <c r="K35" s="1">
        <v>36</v>
      </c>
      <c r="L35" s="2">
        <v>3.1381329999999998</v>
      </c>
      <c r="M35" s="1">
        <v>41</v>
      </c>
      <c r="N35" s="2">
        <v>3.4568979999999998</v>
      </c>
      <c r="O35" s="1">
        <v>25</v>
      </c>
      <c r="P35" s="2">
        <v>3.4107259999999999</v>
      </c>
      <c r="Q35" s="1">
        <v>32</v>
      </c>
      <c r="R35" s="2">
        <v>3.4671609999999999</v>
      </c>
      <c r="S35" s="1">
        <v>33</v>
      </c>
      <c r="T35" s="2">
        <v>3.8138169999999998</v>
      </c>
      <c r="U35" s="1">
        <v>28</v>
      </c>
    </row>
    <row r="36" spans="1:21" x14ac:dyDescent="0.2">
      <c r="A36" s="1" t="s">
        <v>255</v>
      </c>
      <c r="B36" s="1" t="s">
        <v>254</v>
      </c>
      <c r="C36" s="2">
        <v>3.3761100000000002</v>
      </c>
      <c r="D36" s="2">
        <v>3.2453210000000001</v>
      </c>
      <c r="E36" s="2">
        <v>3.5068999999999999</v>
      </c>
      <c r="F36" s="1">
        <v>33</v>
      </c>
      <c r="G36" s="1">
        <v>30</v>
      </c>
      <c r="H36" s="1">
        <v>39</v>
      </c>
      <c r="I36" s="2">
        <f>(C36-1)*100/($C$4-1)</f>
        <v>74.219945749480544</v>
      </c>
      <c r="J36" s="2">
        <v>3.1745999999999999</v>
      </c>
      <c r="K36" s="1">
        <v>34</v>
      </c>
      <c r="L36" s="2">
        <v>3.1865540000000001</v>
      </c>
      <c r="M36" s="1">
        <v>36</v>
      </c>
      <c r="N36" s="2">
        <v>3.508124</v>
      </c>
      <c r="O36" s="1">
        <v>22</v>
      </c>
      <c r="P36" s="2">
        <v>3.192726</v>
      </c>
      <c r="Q36" s="1">
        <v>39</v>
      </c>
      <c r="R36" s="2">
        <v>3.4113359999999999</v>
      </c>
      <c r="S36" s="1">
        <v>35</v>
      </c>
      <c r="T36" s="2">
        <v>3.7424409999999999</v>
      </c>
      <c r="U36" s="1">
        <v>34</v>
      </c>
    </row>
    <row r="37" spans="1:21" x14ac:dyDescent="0.2">
      <c r="A37" s="1" t="s">
        <v>253</v>
      </c>
      <c r="B37" s="1" t="s">
        <v>252</v>
      </c>
      <c r="C37" s="2">
        <v>3.317145</v>
      </c>
      <c r="D37" s="2">
        <v>3.2078440000000001</v>
      </c>
      <c r="E37" s="2">
        <v>3.426447</v>
      </c>
      <c r="F37" s="1">
        <v>34</v>
      </c>
      <c r="G37" s="1">
        <v>31</v>
      </c>
      <c r="H37" s="1">
        <v>41</v>
      </c>
      <c r="I37" s="2">
        <f>(C37-1)*100/($C$4-1)</f>
        <v>72.378120623068824</v>
      </c>
      <c r="J37" s="2">
        <v>3.2740260000000001</v>
      </c>
      <c r="K37" s="1">
        <v>32</v>
      </c>
      <c r="L37" s="2">
        <v>3.2096779999999998</v>
      </c>
      <c r="M37" s="1">
        <v>34</v>
      </c>
      <c r="N37" s="2">
        <v>3.2718929999999999</v>
      </c>
      <c r="O37" s="1">
        <v>38</v>
      </c>
      <c r="P37" s="2">
        <v>3.1250719999999998</v>
      </c>
      <c r="Q37" s="1">
        <v>43</v>
      </c>
      <c r="R37" s="2">
        <v>3.2036120000000001</v>
      </c>
      <c r="S37" s="1">
        <v>44</v>
      </c>
      <c r="T37" s="2">
        <v>3.7970139999999999</v>
      </c>
      <c r="U37" s="1">
        <v>31</v>
      </c>
    </row>
    <row r="38" spans="1:21" x14ac:dyDescent="0.2">
      <c r="A38" s="1" t="s">
        <v>251</v>
      </c>
      <c r="B38" s="1" t="s">
        <v>250</v>
      </c>
      <c r="C38" s="2">
        <v>3.3147799999999998</v>
      </c>
      <c r="D38" s="2">
        <v>3.0841859999999999</v>
      </c>
      <c r="E38" s="2">
        <v>3.5453749999999999</v>
      </c>
      <c r="F38" s="1">
        <v>35</v>
      </c>
      <c r="G38" s="1">
        <v>28</v>
      </c>
      <c r="H38" s="1">
        <v>49</v>
      </c>
      <c r="I38" s="2">
        <f>(C38-1)*100/($C$4-1)</f>
        <v>72.304247708221652</v>
      </c>
      <c r="J38" s="2">
        <v>3.4186809999999999</v>
      </c>
      <c r="K38" s="1">
        <v>24</v>
      </c>
      <c r="L38" s="2">
        <v>3.2619050000000001</v>
      </c>
      <c r="M38" s="1">
        <v>31</v>
      </c>
      <c r="N38" s="2">
        <v>3.1879119999999999</v>
      </c>
      <c r="O38" s="1">
        <v>47</v>
      </c>
      <c r="P38" s="2">
        <v>3.052381</v>
      </c>
      <c r="Q38" s="1">
        <v>50</v>
      </c>
      <c r="R38" s="2">
        <v>3.266667</v>
      </c>
      <c r="S38" s="1">
        <v>40</v>
      </c>
      <c r="T38" s="2">
        <v>3.6952379999999998</v>
      </c>
      <c r="U38" s="1">
        <v>38</v>
      </c>
    </row>
    <row r="39" spans="1:21" x14ac:dyDescent="0.2">
      <c r="A39" s="1" t="s">
        <v>249</v>
      </c>
      <c r="B39" s="1" t="s">
        <v>248</v>
      </c>
      <c r="C39" s="2">
        <v>3.3116129999999999</v>
      </c>
      <c r="D39" s="2">
        <v>3.0643609999999999</v>
      </c>
      <c r="E39" s="2">
        <v>3.5588649999999999</v>
      </c>
      <c r="F39" s="1">
        <v>36</v>
      </c>
      <c r="G39" s="1">
        <v>28</v>
      </c>
      <c r="H39" s="1">
        <v>50</v>
      </c>
      <c r="I39" s="2">
        <f>(C39-1)*100/($C$4-1)</f>
        <v>72.205323597726505</v>
      </c>
      <c r="J39" s="2">
        <v>3.3220369999999999</v>
      </c>
      <c r="K39" s="1">
        <v>28</v>
      </c>
      <c r="L39" s="2">
        <v>3.0986379999999998</v>
      </c>
      <c r="M39" s="1">
        <v>44</v>
      </c>
      <c r="N39" s="2">
        <v>3.2621540000000002</v>
      </c>
      <c r="O39" s="1">
        <v>39</v>
      </c>
      <c r="P39" s="2">
        <v>3.1478510000000002</v>
      </c>
      <c r="Q39" s="1">
        <v>40</v>
      </c>
      <c r="R39" s="2">
        <v>3.2066750000000002</v>
      </c>
      <c r="S39" s="1">
        <v>43</v>
      </c>
      <c r="T39" s="2">
        <v>3.7986840000000002</v>
      </c>
      <c r="U39" s="1">
        <v>30</v>
      </c>
    </row>
    <row r="40" spans="1:21" x14ac:dyDescent="0.2">
      <c r="A40" s="1" t="s">
        <v>247</v>
      </c>
      <c r="B40" s="1" t="s">
        <v>246</v>
      </c>
      <c r="C40" s="2">
        <v>3.3077960000000002</v>
      </c>
      <c r="D40" s="2">
        <v>3.128123</v>
      </c>
      <c r="E40" s="2">
        <v>3.4874679999999998</v>
      </c>
      <c r="F40" s="1">
        <v>37</v>
      </c>
      <c r="G40" s="1">
        <v>30</v>
      </c>
      <c r="H40" s="1">
        <v>47</v>
      </c>
      <c r="I40" s="2">
        <f>(C40-1)*100/($C$4-1)</f>
        <v>72.086096149112706</v>
      </c>
      <c r="J40" s="2">
        <v>3.316621</v>
      </c>
      <c r="K40" s="1">
        <v>29</v>
      </c>
      <c r="L40" s="2">
        <v>3.3286090000000002</v>
      </c>
      <c r="M40" s="1">
        <v>28</v>
      </c>
      <c r="N40" s="2">
        <v>2.7831540000000001</v>
      </c>
      <c r="O40" s="1">
        <v>75</v>
      </c>
      <c r="P40" s="2">
        <v>3.3893330000000002</v>
      </c>
      <c r="Q40" s="1">
        <v>34</v>
      </c>
      <c r="R40" s="2">
        <v>3.5004439999999999</v>
      </c>
      <c r="S40" s="1">
        <v>32</v>
      </c>
      <c r="T40" s="2">
        <v>3.5914670000000002</v>
      </c>
      <c r="U40" s="1">
        <v>48</v>
      </c>
    </row>
    <row r="41" spans="1:21" x14ac:dyDescent="0.2">
      <c r="A41" s="1" t="s">
        <v>245</v>
      </c>
      <c r="B41" s="1" t="s">
        <v>244</v>
      </c>
      <c r="C41" s="2">
        <v>3.2759819999999999</v>
      </c>
      <c r="D41" s="2">
        <v>3.1219640000000002</v>
      </c>
      <c r="E41" s="2">
        <v>3.4300009999999999</v>
      </c>
      <c r="F41" s="1">
        <v>38</v>
      </c>
      <c r="G41" s="1">
        <v>31</v>
      </c>
      <c r="H41" s="1">
        <v>47</v>
      </c>
      <c r="I41" s="2">
        <f>(C41-1)*100/($C$4-1)</f>
        <v>71.092357073870403</v>
      </c>
      <c r="J41" s="2">
        <v>2.8662619999999999</v>
      </c>
      <c r="K41" s="1">
        <v>45</v>
      </c>
      <c r="L41" s="2">
        <v>3.1303179999999999</v>
      </c>
      <c r="M41" s="1">
        <v>42</v>
      </c>
      <c r="N41" s="2">
        <v>3.3145380000000002</v>
      </c>
      <c r="O41" s="1">
        <v>34</v>
      </c>
      <c r="P41" s="2">
        <v>3.3333330000000001</v>
      </c>
      <c r="Q41" s="1">
        <v>35</v>
      </c>
      <c r="R41" s="2">
        <v>3.4</v>
      </c>
      <c r="S41" s="1">
        <v>36</v>
      </c>
      <c r="T41" s="2">
        <v>3.596759</v>
      </c>
      <c r="U41" s="1">
        <v>46</v>
      </c>
    </row>
    <row r="42" spans="1:21" x14ac:dyDescent="0.2">
      <c r="A42" s="1" t="s">
        <v>243</v>
      </c>
      <c r="B42" s="1" t="s">
        <v>242</v>
      </c>
      <c r="C42" s="2">
        <v>3.2739799999999999</v>
      </c>
      <c r="D42" s="2">
        <v>3.1107369999999999</v>
      </c>
      <c r="E42" s="2">
        <v>3.4372229999999999</v>
      </c>
      <c r="F42" s="1">
        <v>39</v>
      </c>
      <c r="G42" s="1">
        <v>31</v>
      </c>
      <c r="H42" s="1">
        <v>48</v>
      </c>
      <c r="I42" s="2">
        <f>(C42-1)*100/($C$4-1)</f>
        <v>71.029822792464884</v>
      </c>
      <c r="J42" s="2">
        <v>2.9501539999999999</v>
      </c>
      <c r="K42" s="1">
        <v>41</v>
      </c>
      <c r="L42" s="2">
        <v>3.00549</v>
      </c>
      <c r="M42" s="1">
        <v>47</v>
      </c>
      <c r="N42" s="2">
        <v>3.1554899999999999</v>
      </c>
      <c r="O42" s="1">
        <v>49</v>
      </c>
      <c r="P42" s="2">
        <v>3.39934</v>
      </c>
      <c r="Q42" s="1">
        <v>33</v>
      </c>
      <c r="R42" s="2">
        <v>3.4497800000000001</v>
      </c>
      <c r="S42" s="1">
        <v>34</v>
      </c>
      <c r="T42" s="2">
        <v>3.6720030000000001</v>
      </c>
      <c r="U42" s="1">
        <v>40</v>
      </c>
    </row>
    <row r="43" spans="1:21" x14ac:dyDescent="0.2">
      <c r="A43" s="1" t="s">
        <v>241</v>
      </c>
      <c r="B43" s="1" t="s">
        <v>240</v>
      </c>
      <c r="C43" s="2">
        <v>3.2250139999999998</v>
      </c>
      <c r="D43" s="2">
        <v>2.8034780000000001</v>
      </c>
      <c r="E43" s="2">
        <v>3.64655</v>
      </c>
      <c r="F43" s="1">
        <v>40</v>
      </c>
      <c r="G43" s="1">
        <v>23</v>
      </c>
      <c r="H43" s="1">
        <v>72</v>
      </c>
      <c r="I43" s="2">
        <f>(C43-1)*100/($C$4-1)</f>
        <v>69.500325478127976</v>
      </c>
      <c r="J43" s="2">
        <v>2.769231</v>
      </c>
      <c r="K43" s="1">
        <v>54</v>
      </c>
      <c r="L43" s="2">
        <v>3.185584</v>
      </c>
      <c r="M43" s="1">
        <v>37</v>
      </c>
      <c r="N43" s="2">
        <v>2.792351</v>
      </c>
      <c r="O43" s="1">
        <v>72</v>
      </c>
      <c r="P43" s="2">
        <v>3.6051639999999998</v>
      </c>
      <c r="Q43" s="1">
        <v>25</v>
      </c>
      <c r="R43" s="2">
        <v>3.3534160000000002</v>
      </c>
      <c r="S43" s="1">
        <v>37</v>
      </c>
      <c r="T43" s="2">
        <v>3.6969660000000002</v>
      </c>
      <c r="U43" s="1">
        <v>37</v>
      </c>
    </row>
    <row r="44" spans="1:21" x14ac:dyDescent="0.2">
      <c r="A44" s="1" t="s">
        <v>239</v>
      </c>
      <c r="B44" s="1" t="s">
        <v>238</v>
      </c>
      <c r="C44" s="2">
        <v>3.2208860000000001</v>
      </c>
      <c r="D44" s="2">
        <v>3.0012159999999999</v>
      </c>
      <c r="E44" s="2">
        <v>3.4405549999999998</v>
      </c>
      <c r="F44" s="1">
        <v>41</v>
      </c>
      <c r="G44" s="1">
        <v>31</v>
      </c>
      <c r="H44" s="1">
        <v>55</v>
      </c>
      <c r="I44" s="2">
        <f>(C44-1)*100/($C$4-1)</f>
        <v>69.371383663122018</v>
      </c>
      <c r="J44" s="2">
        <v>2.8982679999999998</v>
      </c>
      <c r="K44" s="1">
        <v>43</v>
      </c>
      <c r="L44" s="2">
        <v>3.147186</v>
      </c>
      <c r="M44" s="1">
        <v>40</v>
      </c>
      <c r="N44" s="2">
        <v>3.347836</v>
      </c>
      <c r="O44" s="1">
        <v>32</v>
      </c>
      <c r="P44" s="2">
        <v>3.2978360000000002</v>
      </c>
      <c r="Q44" s="1">
        <v>36</v>
      </c>
      <c r="R44" s="2">
        <v>3.1478350000000002</v>
      </c>
      <c r="S44" s="1">
        <v>47</v>
      </c>
      <c r="T44" s="2">
        <v>3.4638140000000002</v>
      </c>
      <c r="U44" s="1">
        <v>53</v>
      </c>
    </row>
    <row r="45" spans="1:21" x14ac:dyDescent="0.2">
      <c r="A45" s="1" t="s">
        <v>237</v>
      </c>
      <c r="B45" s="1" t="s">
        <v>236</v>
      </c>
      <c r="C45" s="2">
        <v>3.204561</v>
      </c>
      <c r="D45" s="2">
        <v>3.0436420000000002</v>
      </c>
      <c r="E45" s="2">
        <v>3.3654799999999998</v>
      </c>
      <c r="F45" s="1">
        <v>42</v>
      </c>
      <c r="G45" s="1">
        <v>34</v>
      </c>
      <c r="H45" s="1">
        <v>51</v>
      </c>
      <c r="I45" s="2">
        <f>(C45-1)*100/($C$4-1)</f>
        <v>68.861457517295307</v>
      </c>
      <c r="J45" s="2">
        <v>2.8391820000000001</v>
      </c>
      <c r="K45" s="1">
        <v>47</v>
      </c>
      <c r="L45" s="2">
        <v>3.1724950000000001</v>
      </c>
      <c r="M45" s="1">
        <v>38</v>
      </c>
      <c r="N45" s="2">
        <v>3.3030710000000001</v>
      </c>
      <c r="O45" s="1">
        <v>35</v>
      </c>
      <c r="P45" s="2">
        <v>3.0558230000000002</v>
      </c>
      <c r="Q45" s="1">
        <v>48</v>
      </c>
      <c r="R45" s="2">
        <v>3.1751040000000001</v>
      </c>
      <c r="S45" s="1">
        <v>45</v>
      </c>
      <c r="T45" s="2">
        <v>3.662264</v>
      </c>
      <c r="U45" s="1">
        <v>42</v>
      </c>
    </row>
    <row r="46" spans="1:21" x14ac:dyDescent="0.2">
      <c r="A46" s="1" t="s">
        <v>235</v>
      </c>
      <c r="B46" s="1" t="s">
        <v>234</v>
      </c>
      <c r="C46" s="2">
        <v>3.1968380000000001</v>
      </c>
      <c r="D46" s="2">
        <v>2.9271859999999998</v>
      </c>
      <c r="E46" s="2">
        <v>3.4664890000000002</v>
      </c>
      <c r="F46" s="1">
        <v>43</v>
      </c>
      <c r="G46" s="1">
        <v>31</v>
      </c>
      <c r="H46" s="1">
        <v>59</v>
      </c>
      <c r="I46" s="2">
        <f>(C46-1)*100/($C$4-1)</f>
        <v>68.620222624540673</v>
      </c>
      <c r="J46" s="2">
        <v>2.8666670000000001</v>
      </c>
      <c r="K46" s="1">
        <v>44</v>
      </c>
      <c r="L46" s="2">
        <v>3.1552750000000001</v>
      </c>
      <c r="M46" s="1">
        <v>39</v>
      </c>
      <c r="N46" s="2">
        <v>3.2993649999999999</v>
      </c>
      <c r="O46" s="1">
        <v>36</v>
      </c>
      <c r="P46" s="2">
        <v>3.0541469999999999</v>
      </c>
      <c r="Q46" s="1">
        <v>49</v>
      </c>
      <c r="R46" s="2">
        <v>2.9708139999999998</v>
      </c>
      <c r="S46" s="1">
        <v>66</v>
      </c>
      <c r="T46" s="2">
        <v>3.8041469999999999</v>
      </c>
      <c r="U46" s="1">
        <v>29</v>
      </c>
    </row>
    <row r="47" spans="1:21" x14ac:dyDescent="0.2">
      <c r="A47" s="1" t="s">
        <v>233</v>
      </c>
      <c r="B47" s="1" t="s">
        <v>232</v>
      </c>
      <c r="C47" s="2">
        <v>3.1765690000000002</v>
      </c>
      <c r="D47" s="2">
        <v>3.0975549999999998</v>
      </c>
      <c r="E47" s="2">
        <v>3.2555839999999998</v>
      </c>
      <c r="F47" s="1">
        <v>44</v>
      </c>
      <c r="G47" s="1">
        <v>40</v>
      </c>
      <c r="H47" s="1">
        <v>49</v>
      </c>
      <c r="I47" s="2">
        <f>(C47-1)*100/($C$4-1)</f>
        <v>67.987102070190815</v>
      </c>
      <c r="J47" s="2">
        <v>2.964512</v>
      </c>
      <c r="K47" s="1">
        <v>40</v>
      </c>
      <c r="L47" s="2">
        <v>2.9051740000000001</v>
      </c>
      <c r="M47" s="1">
        <v>52</v>
      </c>
      <c r="N47" s="2">
        <v>3.211983</v>
      </c>
      <c r="O47" s="1">
        <v>44</v>
      </c>
      <c r="P47" s="2">
        <v>3.1280730000000001</v>
      </c>
      <c r="Q47" s="1">
        <v>42</v>
      </c>
      <c r="R47" s="2">
        <v>3.3193869999999999</v>
      </c>
      <c r="S47" s="1">
        <v>38</v>
      </c>
      <c r="T47" s="2">
        <v>3.4971410000000001</v>
      </c>
      <c r="U47" s="1">
        <v>52</v>
      </c>
    </row>
    <row r="48" spans="1:21" x14ac:dyDescent="0.2">
      <c r="A48" s="1" t="s">
        <v>231</v>
      </c>
      <c r="B48" s="1" t="s">
        <v>230</v>
      </c>
      <c r="C48" s="2">
        <v>3.1508370000000001</v>
      </c>
      <c r="D48" s="2">
        <v>2.847448</v>
      </c>
      <c r="E48" s="2">
        <v>3.4542269999999999</v>
      </c>
      <c r="F48" s="1">
        <v>45</v>
      </c>
      <c r="G48" s="1">
        <v>31</v>
      </c>
      <c r="H48" s="1">
        <v>64</v>
      </c>
      <c r="I48" s="2">
        <f>(C48-1)*100/($C$4-1)</f>
        <v>67.183339767929724</v>
      </c>
      <c r="J48" s="2">
        <v>3.0516480000000001</v>
      </c>
      <c r="K48" s="1">
        <v>37</v>
      </c>
      <c r="L48" s="2">
        <v>2.8924539999999999</v>
      </c>
      <c r="M48" s="1">
        <v>55</v>
      </c>
      <c r="N48" s="2">
        <v>3.1476190000000002</v>
      </c>
      <c r="O48" s="1">
        <v>50</v>
      </c>
      <c r="P48" s="2">
        <v>3.0047619999999999</v>
      </c>
      <c r="Q48" s="1">
        <v>53</v>
      </c>
      <c r="R48" s="2">
        <v>3.1476190000000002</v>
      </c>
      <c r="S48" s="1">
        <v>48</v>
      </c>
      <c r="T48" s="2">
        <v>3.6227109999999998</v>
      </c>
      <c r="U48" s="1">
        <v>45</v>
      </c>
    </row>
    <row r="49" spans="1:21" x14ac:dyDescent="0.2">
      <c r="A49" s="1" t="s">
        <v>229</v>
      </c>
      <c r="B49" s="1" t="s">
        <v>228</v>
      </c>
      <c r="C49" s="2">
        <v>3.150061</v>
      </c>
      <c r="D49" s="2">
        <v>2.8502169999999998</v>
      </c>
      <c r="E49" s="2">
        <v>3.4499050000000002</v>
      </c>
      <c r="F49" s="1">
        <v>46</v>
      </c>
      <c r="G49" s="1">
        <v>31</v>
      </c>
      <c r="H49" s="1">
        <v>64</v>
      </c>
      <c r="I49" s="2">
        <f>(C49-1)*100/($C$4-1)</f>
        <v>67.159100705806495</v>
      </c>
      <c r="J49" s="2">
        <v>2.6727780000000001</v>
      </c>
      <c r="K49" s="1">
        <v>62</v>
      </c>
      <c r="L49" s="2">
        <v>2.895</v>
      </c>
      <c r="M49" s="1">
        <v>54</v>
      </c>
      <c r="N49" s="2">
        <v>3.2283330000000001</v>
      </c>
      <c r="O49" s="1">
        <v>42</v>
      </c>
      <c r="P49" s="2">
        <v>3.1</v>
      </c>
      <c r="Q49" s="1">
        <v>44</v>
      </c>
      <c r="R49" s="2">
        <v>3.3</v>
      </c>
      <c r="S49" s="1">
        <v>39</v>
      </c>
      <c r="T49" s="2">
        <v>3.669556</v>
      </c>
      <c r="U49" s="1">
        <v>41</v>
      </c>
    </row>
    <row r="50" spans="1:21" x14ac:dyDescent="0.2">
      <c r="A50" s="1" t="s">
        <v>227</v>
      </c>
      <c r="B50" s="1" t="s">
        <v>226</v>
      </c>
      <c r="C50" s="2">
        <v>3.1458089999999999</v>
      </c>
      <c r="D50" s="2">
        <v>3.0484460000000002</v>
      </c>
      <c r="E50" s="2">
        <v>3.2431719999999999</v>
      </c>
      <c r="F50" s="1">
        <v>47</v>
      </c>
      <c r="G50" s="1">
        <v>40</v>
      </c>
      <c r="H50" s="1">
        <v>51</v>
      </c>
      <c r="I50" s="2">
        <f>(C50-1)*100/($C$4-1)</f>
        <v>67.026285638605572</v>
      </c>
      <c r="J50" s="2">
        <v>2.7134689999999999</v>
      </c>
      <c r="K50" s="1">
        <v>58</v>
      </c>
      <c r="L50" s="2">
        <v>3.210029</v>
      </c>
      <c r="M50" s="1">
        <v>33</v>
      </c>
      <c r="N50" s="2">
        <v>3.0606770000000001</v>
      </c>
      <c r="O50" s="1">
        <v>53</v>
      </c>
      <c r="P50" s="2">
        <v>3.046799</v>
      </c>
      <c r="Q50" s="1">
        <v>51</v>
      </c>
      <c r="R50" s="2">
        <v>3.2330559999999999</v>
      </c>
      <c r="S50" s="1">
        <v>42</v>
      </c>
      <c r="T50" s="2">
        <v>3.6281180000000002</v>
      </c>
      <c r="U50" s="1">
        <v>44</v>
      </c>
    </row>
    <row r="51" spans="1:21" x14ac:dyDescent="0.2">
      <c r="A51" s="1" t="s">
        <v>225</v>
      </c>
      <c r="B51" s="1" t="s">
        <v>224</v>
      </c>
      <c r="C51" s="2">
        <v>3.118601</v>
      </c>
      <c r="D51" s="2">
        <v>3.0051320000000001</v>
      </c>
      <c r="E51" s="2">
        <v>3.2320690000000001</v>
      </c>
      <c r="F51" s="1">
        <v>48</v>
      </c>
      <c r="G51" s="1">
        <v>40</v>
      </c>
      <c r="H51" s="1">
        <v>55</v>
      </c>
      <c r="I51" s="2">
        <f>(C51-1)*100/($C$4-1)</f>
        <v>66.176419140862677</v>
      </c>
      <c r="J51" s="2">
        <v>2.5807180000000001</v>
      </c>
      <c r="K51" s="1">
        <v>80</v>
      </c>
      <c r="L51" s="2">
        <v>2.9069029999999998</v>
      </c>
      <c r="M51" s="1">
        <v>51</v>
      </c>
      <c r="N51" s="2">
        <v>3.1764969999999999</v>
      </c>
      <c r="O51" s="1">
        <v>48</v>
      </c>
      <c r="P51" s="2">
        <v>3.0736530000000002</v>
      </c>
      <c r="Q51" s="1">
        <v>47</v>
      </c>
      <c r="R51" s="2">
        <v>3.2647270000000002</v>
      </c>
      <c r="S51" s="1">
        <v>41</v>
      </c>
      <c r="T51" s="2">
        <v>3.6818870000000001</v>
      </c>
      <c r="U51" s="1">
        <v>39</v>
      </c>
    </row>
    <row r="52" spans="1:21" x14ac:dyDescent="0.2">
      <c r="A52" s="1" t="s">
        <v>223</v>
      </c>
      <c r="B52" s="1" t="s">
        <v>222</v>
      </c>
      <c r="C52" s="2">
        <v>3.1040899999999998</v>
      </c>
      <c r="D52" s="2">
        <v>2.8402569999999998</v>
      </c>
      <c r="E52" s="2">
        <v>3.3679230000000002</v>
      </c>
      <c r="F52" s="1">
        <v>49</v>
      </c>
      <c r="G52" s="1">
        <v>34</v>
      </c>
      <c r="H52" s="1">
        <v>65</v>
      </c>
      <c r="I52" s="2">
        <f>(C52-1)*100/($C$4-1)</f>
        <v>65.723154926339475</v>
      </c>
      <c r="J52" s="2">
        <v>2.9785550000000001</v>
      </c>
      <c r="K52" s="1">
        <v>39</v>
      </c>
      <c r="L52" s="2">
        <v>3.0128200000000001</v>
      </c>
      <c r="M52" s="1">
        <v>46</v>
      </c>
      <c r="N52" s="2">
        <v>2.929487</v>
      </c>
      <c r="O52" s="1">
        <v>58</v>
      </c>
      <c r="P52" s="2">
        <v>3.0961539999999999</v>
      </c>
      <c r="Q52" s="1">
        <v>45</v>
      </c>
      <c r="R52" s="2">
        <v>3.0128200000000001</v>
      </c>
      <c r="S52" s="1">
        <v>61</v>
      </c>
      <c r="T52" s="2">
        <v>3.5939390000000002</v>
      </c>
      <c r="U52" s="1">
        <v>47</v>
      </c>
    </row>
    <row r="53" spans="1:21" x14ac:dyDescent="0.2">
      <c r="A53" s="1" t="s">
        <v>221</v>
      </c>
      <c r="B53" s="1" t="s">
        <v>220</v>
      </c>
      <c r="C53" s="2">
        <v>3.0822530000000001</v>
      </c>
      <c r="D53" s="2">
        <v>2.8605909999999999</v>
      </c>
      <c r="E53" s="2">
        <v>3.3039149999999999</v>
      </c>
      <c r="F53" s="1">
        <v>50</v>
      </c>
      <c r="G53" s="1">
        <v>38</v>
      </c>
      <c r="H53" s="1">
        <v>63</v>
      </c>
      <c r="I53" s="2">
        <f>(C53-1)*100/($C$4-1)</f>
        <v>65.041056473266437</v>
      </c>
      <c r="J53" s="2">
        <v>2.7791670000000002</v>
      </c>
      <c r="K53" s="1">
        <v>51</v>
      </c>
      <c r="L53" s="2">
        <v>2.886806</v>
      </c>
      <c r="M53" s="1">
        <v>56</v>
      </c>
      <c r="N53" s="2">
        <v>3.2073179999999999</v>
      </c>
      <c r="O53" s="1">
        <v>45</v>
      </c>
      <c r="P53" s="2">
        <v>3.227109</v>
      </c>
      <c r="Q53" s="1">
        <v>37</v>
      </c>
      <c r="R53" s="2">
        <v>3.1362000000000001</v>
      </c>
      <c r="S53" s="1">
        <v>49</v>
      </c>
      <c r="T53" s="2">
        <v>3.227109</v>
      </c>
      <c r="U53" s="1">
        <v>71</v>
      </c>
    </row>
    <row r="54" spans="1:21" x14ac:dyDescent="0.2">
      <c r="A54" s="1" t="s">
        <v>219</v>
      </c>
      <c r="B54" s="1" t="s">
        <v>218</v>
      </c>
      <c r="C54" s="2">
        <v>3.0513750000000002</v>
      </c>
      <c r="D54" s="2">
        <v>2.8984510000000001</v>
      </c>
      <c r="E54" s="2">
        <v>3.2042989999999998</v>
      </c>
      <c r="F54" s="1">
        <v>51</v>
      </c>
      <c r="G54" s="1">
        <v>43</v>
      </c>
      <c r="H54" s="1">
        <v>60</v>
      </c>
      <c r="I54" s="2">
        <f>(C54-1)*100/($C$4-1)</f>
        <v>64.076554204915027</v>
      </c>
      <c r="J54" s="2">
        <v>2.7697940000000001</v>
      </c>
      <c r="K54" s="1">
        <v>53</v>
      </c>
      <c r="L54" s="2">
        <v>2.8469169999999999</v>
      </c>
      <c r="M54" s="1">
        <v>57</v>
      </c>
      <c r="N54" s="2">
        <v>3.1028159999999998</v>
      </c>
      <c r="O54" s="1">
        <v>51</v>
      </c>
      <c r="P54" s="2">
        <v>3.019504</v>
      </c>
      <c r="Q54" s="1">
        <v>52</v>
      </c>
      <c r="R54" s="2">
        <v>3.0048110000000001</v>
      </c>
      <c r="S54" s="1">
        <v>62</v>
      </c>
      <c r="T54" s="2">
        <v>3.5296180000000001</v>
      </c>
      <c r="U54" s="1">
        <v>49</v>
      </c>
    </row>
    <row r="55" spans="1:21" x14ac:dyDescent="0.2">
      <c r="A55" s="1" t="s">
        <v>217</v>
      </c>
      <c r="B55" s="1" t="s">
        <v>216</v>
      </c>
      <c r="C55" s="2">
        <v>3.0339649999999998</v>
      </c>
      <c r="D55" s="2">
        <v>2.8411960000000001</v>
      </c>
      <c r="E55" s="2">
        <v>3.2267350000000001</v>
      </c>
      <c r="F55" s="1">
        <v>52</v>
      </c>
      <c r="G55" s="1">
        <v>40</v>
      </c>
      <c r="H55" s="1">
        <v>64</v>
      </c>
      <c r="I55" s="2">
        <f>(C55-1)*100/($C$4-1)</f>
        <v>63.532737102382534</v>
      </c>
      <c r="J55" s="2">
        <v>2.9375879999999999</v>
      </c>
      <c r="K55" s="1">
        <v>42</v>
      </c>
      <c r="L55" s="2">
        <v>2.7629860000000002</v>
      </c>
      <c r="M55" s="1">
        <v>64</v>
      </c>
      <c r="N55" s="2">
        <v>3.2337229999999999</v>
      </c>
      <c r="O55" s="1">
        <v>41</v>
      </c>
      <c r="P55" s="2">
        <v>2.8813149999999998</v>
      </c>
      <c r="Q55" s="1">
        <v>55</v>
      </c>
      <c r="R55" s="2">
        <v>3.0152890000000001</v>
      </c>
      <c r="S55" s="1">
        <v>59</v>
      </c>
      <c r="T55" s="2">
        <v>3.313491</v>
      </c>
      <c r="U55" s="1">
        <v>65</v>
      </c>
    </row>
    <row r="56" spans="1:21" x14ac:dyDescent="0.2">
      <c r="A56" s="1" t="s">
        <v>215</v>
      </c>
      <c r="B56" s="1" t="s">
        <v>214</v>
      </c>
      <c r="C56" s="2">
        <v>3.0271300000000001</v>
      </c>
      <c r="D56" s="2">
        <v>2.6943419999999998</v>
      </c>
      <c r="E56" s="2">
        <v>3.3599169999999998</v>
      </c>
      <c r="F56" s="1">
        <v>53</v>
      </c>
      <c r="G56" s="1">
        <v>34</v>
      </c>
      <c r="H56" s="1">
        <v>82</v>
      </c>
      <c r="I56" s="2">
        <f>(C56-1)*100/($C$4-1)</f>
        <v>63.319239693088491</v>
      </c>
      <c r="J56" s="2">
        <v>2.7890109999999999</v>
      </c>
      <c r="K56" s="1">
        <v>50</v>
      </c>
      <c r="L56" s="2">
        <v>3</v>
      </c>
      <c r="M56" s="1">
        <v>48</v>
      </c>
      <c r="N56" s="2">
        <v>3.101099</v>
      </c>
      <c r="O56" s="1">
        <v>52</v>
      </c>
      <c r="P56" s="2">
        <v>3.1391939999999998</v>
      </c>
      <c r="Q56" s="1">
        <v>41</v>
      </c>
      <c r="R56" s="2">
        <v>2.9853480000000001</v>
      </c>
      <c r="S56" s="1">
        <v>64</v>
      </c>
      <c r="T56" s="2">
        <v>3.1391939999999998</v>
      </c>
      <c r="U56" s="1">
        <v>86</v>
      </c>
    </row>
    <row r="57" spans="1:21" x14ac:dyDescent="0.2">
      <c r="A57" s="1" t="s">
        <v>213</v>
      </c>
      <c r="B57" s="1" t="s">
        <v>212</v>
      </c>
      <c r="C57" s="2">
        <v>3.0175239999999999</v>
      </c>
      <c r="D57" s="2">
        <v>2.7588750000000002</v>
      </c>
      <c r="E57" s="2">
        <v>3.2761719999999999</v>
      </c>
      <c r="F57" s="1">
        <v>54</v>
      </c>
      <c r="G57" s="1">
        <v>38</v>
      </c>
      <c r="H57" s="1">
        <v>74</v>
      </c>
      <c r="I57" s="2">
        <f>(C57-1)*100/($C$4-1)</f>
        <v>63.019187591599284</v>
      </c>
      <c r="J57" s="2">
        <v>2.8464909999999999</v>
      </c>
      <c r="K57" s="1">
        <v>46</v>
      </c>
      <c r="L57" s="2">
        <v>2.7296179999999999</v>
      </c>
      <c r="M57" s="1">
        <v>66</v>
      </c>
      <c r="N57" s="2">
        <v>2.78999</v>
      </c>
      <c r="O57" s="1">
        <v>74</v>
      </c>
      <c r="P57" s="2">
        <v>2.9556239999999998</v>
      </c>
      <c r="Q57" s="1">
        <v>54</v>
      </c>
      <c r="R57" s="2">
        <v>3.1233230000000001</v>
      </c>
      <c r="S57" s="1">
        <v>50</v>
      </c>
      <c r="T57" s="2">
        <v>3.646595</v>
      </c>
      <c r="U57" s="1">
        <v>43</v>
      </c>
    </row>
    <row r="58" spans="1:21" x14ac:dyDescent="0.2">
      <c r="A58" s="1" t="s">
        <v>211</v>
      </c>
      <c r="B58" s="1" t="s">
        <v>210</v>
      </c>
      <c r="C58" s="2">
        <v>3.0110410000000001</v>
      </c>
      <c r="D58" s="2">
        <v>2.8298809999999999</v>
      </c>
      <c r="E58" s="2">
        <v>3.1922000000000001</v>
      </c>
      <c r="F58" s="1">
        <v>55</v>
      </c>
      <c r="G58" s="1">
        <v>44</v>
      </c>
      <c r="H58" s="1">
        <v>66</v>
      </c>
      <c r="I58" s="2">
        <f>(C58-1)*100/($C$4-1)</f>
        <v>62.816685220794113</v>
      </c>
      <c r="J58" s="2">
        <v>2.6605490000000001</v>
      </c>
      <c r="K58" s="1">
        <v>66</v>
      </c>
      <c r="L58" s="2">
        <v>3.1070039999999999</v>
      </c>
      <c r="M58" s="1">
        <v>43</v>
      </c>
      <c r="N58" s="2">
        <v>2.985055</v>
      </c>
      <c r="O58" s="1">
        <v>56</v>
      </c>
      <c r="P58" s="2">
        <v>2.860055</v>
      </c>
      <c r="Q58" s="1">
        <v>57</v>
      </c>
      <c r="R58" s="2">
        <v>3.171576</v>
      </c>
      <c r="S58" s="1">
        <v>46</v>
      </c>
      <c r="T58" s="2">
        <v>3.3000669999999999</v>
      </c>
      <c r="U58" s="1">
        <v>67</v>
      </c>
    </row>
    <row r="59" spans="1:21" x14ac:dyDescent="0.2">
      <c r="A59" s="1" t="s">
        <v>209</v>
      </c>
      <c r="B59" s="1" t="s">
        <v>208</v>
      </c>
      <c r="C59" s="2">
        <v>2.9857900000000002</v>
      </c>
      <c r="D59" s="2">
        <v>2.8468580000000001</v>
      </c>
      <c r="E59" s="2">
        <v>3.1247229999999999</v>
      </c>
      <c r="F59" s="1">
        <v>56</v>
      </c>
      <c r="G59" s="1">
        <v>48</v>
      </c>
      <c r="H59" s="1">
        <v>64</v>
      </c>
      <c r="I59" s="2">
        <f>(C59-1)*100/($C$4-1)</f>
        <v>62.027947388740827</v>
      </c>
      <c r="J59" s="2">
        <v>2.4061620000000001</v>
      </c>
      <c r="K59" s="1">
        <v>102</v>
      </c>
      <c r="L59" s="2">
        <v>2.9269829999999999</v>
      </c>
      <c r="M59" s="1">
        <v>50</v>
      </c>
      <c r="N59" s="2">
        <v>2.8810910000000001</v>
      </c>
      <c r="O59" s="1">
        <v>61</v>
      </c>
      <c r="P59" s="2">
        <v>3.090163</v>
      </c>
      <c r="Q59" s="1">
        <v>46</v>
      </c>
      <c r="R59" s="2">
        <v>3.1114380000000001</v>
      </c>
      <c r="S59" s="1">
        <v>51</v>
      </c>
      <c r="T59" s="2">
        <v>3.5101779999999998</v>
      </c>
      <c r="U59" s="1">
        <v>51</v>
      </c>
    </row>
    <row r="60" spans="1:21" x14ac:dyDescent="0.2">
      <c r="A60" s="1" t="s">
        <v>207</v>
      </c>
      <c r="B60" s="1" t="s">
        <v>206</v>
      </c>
      <c r="C60" s="2">
        <v>2.9747569999999999</v>
      </c>
      <c r="D60" s="2">
        <v>2.6641300000000001</v>
      </c>
      <c r="E60" s="2">
        <v>3.2853850000000002</v>
      </c>
      <c r="F60" s="1">
        <v>57</v>
      </c>
      <c r="G60" s="1">
        <v>38</v>
      </c>
      <c r="H60" s="1">
        <v>86</v>
      </c>
      <c r="I60" s="2">
        <f>(C60-1)*100/($C$4-1)</f>
        <v>61.683321651104926</v>
      </c>
      <c r="J60" s="2">
        <v>2.6666669999999999</v>
      </c>
      <c r="K60" s="1">
        <v>64</v>
      </c>
      <c r="L60" s="2">
        <v>2.7550500000000002</v>
      </c>
      <c r="M60" s="1">
        <v>65</v>
      </c>
      <c r="N60" s="2">
        <v>3.3914140000000002</v>
      </c>
      <c r="O60" s="1">
        <v>29</v>
      </c>
      <c r="P60" s="2">
        <v>2.851178</v>
      </c>
      <c r="Q60" s="1">
        <v>60</v>
      </c>
      <c r="R60" s="2">
        <v>2.751179</v>
      </c>
      <c r="S60" s="1">
        <v>86</v>
      </c>
      <c r="T60" s="2">
        <v>3.351178</v>
      </c>
      <c r="U60" s="1">
        <v>61</v>
      </c>
    </row>
    <row r="61" spans="1:21" x14ac:dyDescent="0.2">
      <c r="A61" s="1" t="s">
        <v>205</v>
      </c>
      <c r="B61" s="1" t="s">
        <v>204</v>
      </c>
      <c r="C61" s="2">
        <v>2.9416000000000002</v>
      </c>
      <c r="D61" s="2">
        <v>2.7716270000000001</v>
      </c>
      <c r="E61" s="2">
        <v>3.1115719999999998</v>
      </c>
      <c r="F61" s="1">
        <v>58</v>
      </c>
      <c r="G61" s="1">
        <v>49</v>
      </c>
      <c r="H61" s="1">
        <v>74</v>
      </c>
      <c r="I61" s="2">
        <f>(C61-1)*100/($C$4-1)</f>
        <v>60.64763275571898</v>
      </c>
      <c r="J61" s="2">
        <v>2.6123569999999998</v>
      </c>
      <c r="K61" s="1">
        <v>75</v>
      </c>
      <c r="L61" s="2">
        <v>2.6666669999999999</v>
      </c>
      <c r="M61" s="1">
        <v>72</v>
      </c>
      <c r="N61" s="2">
        <v>3.1944439999999998</v>
      </c>
      <c r="O61" s="1">
        <v>46</v>
      </c>
      <c r="P61" s="2">
        <v>2.8660239999999999</v>
      </c>
      <c r="Q61" s="1">
        <v>56</v>
      </c>
      <c r="R61" s="2">
        <v>3.0847739999999999</v>
      </c>
      <c r="S61" s="1">
        <v>53</v>
      </c>
      <c r="T61" s="2">
        <v>3.1709700000000001</v>
      </c>
      <c r="U61" s="1">
        <v>81</v>
      </c>
    </row>
    <row r="62" spans="1:21" x14ac:dyDescent="0.2">
      <c r="A62" s="1" t="s">
        <v>203</v>
      </c>
      <c r="B62" s="1" t="s">
        <v>202</v>
      </c>
      <c r="C62" s="2">
        <v>2.9348169999999998</v>
      </c>
      <c r="D62" s="2">
        <v>2.7468029999999999</v>
      </c>
      <c r="E62" s="2">
        <v>3.1228310000000001</v>
      </c>
      <c r="F62" s="1">
        <v>59</v>
      </c>
      <c r="G62" s="1">
        <v>48</v>
      </c>
      <c r="H62" s="1">
        <v>76</v>
      </c>
      <c r="I62" s="2">
        <f>(C62-1)*100/($C$4-1)</f>
        <v>60.43575961347441</v>
      </c>
      <c r="J62" s="2">
        <v>2.669956</v>
      </c>
      <c r="K62" s="1">
        <v>63</v>
      </c>
      <c r="L62" s="2">
        <v>2.7248800000000002</v>
      </c>
      <c r="M62" s="1">
        <v>68</v>
      </c>
      <c r="N62" s="2">
        <v>3.0242559999999998</v>
      </c>
      <c r="O62" s="1">
        <v>55</v>
      </c>
      <c r="P62" s="2">
        <v>2.8572669999999998</v>
      </c>
      <c r="Q62" s="1">
        <v>58</v>
      </c>
      <c r="R62" s="2">
        <v>3.0128810000000001</v>
      </c>
      <c r="S62" s="1">
        <v>60</v>
      </c>
      <c r="T62" s="2">
        <v>3.2854480000000001</v>
      </c>
      <c r="U62" s="1">
        <v>68</v>
      </c>
    </row>
    <row r="63" spans="1:21" x14ac:dyDescent="0.2">
      <c r="A63" s="1" t="s">
        <v>201</v>
      </c>
      <c r="B63" s="1" t="s">
        <v>200</v>
      </c>
      <c r="C63" s="2">
        <v>2.9036569999999999</v>
      </c>
      <c r="D63" s="2">
        <v>2.7332529999999999</v>
      </c>
      <c r="E63" s="2">
        <v>3.0740620000000001</v>
      </c>
      <c r="F63" s="1">
        <v>60</v>
      </c>
      <c r="G63" s="1">
        <v>51</v>
      </c>
      <c r="H63" s="1">
        <v>77</v>
      </c>
      <c r="I63" s="2">
        <f>(C63-1)*100/($C$4-1)</f>
        <v>59.462448819969985</v>
      </c>
      <c r="J63" s="2">
        <v>2.5294120000000002</v>
      </c>
      <c r="K63" s="1">
        <v>85</v>
      </c>
      <c r="L63" s="2">
        <v>2.7259519999999999</v>
      </c>
      <c r="M63" s="1">
        <v>67</v>
      </c>
      <c r="N63" s="2">
        <v>3.292618</v>
      </c>
      <c r="O63" s="1">
        <v>37</v>
      </c>
      <c r="P63" s="2">
        <v>2.7760280000000002</v>
      </c>
      <c r="Q63" s="1">
        <v>69</v>
      </c>
      <c r="R63" s="2">
        <v>3.0591740000000001</v>
      </c>
      <c r="S63" s="1">
        <v>57</v>
      </c>
      <c r="T63" s="2">
        <v>2.983609</v>
      </c>
      <c r="U63" s="1">
        <v>100</v>
      </c>
    </row>
    <row r="64" spans="1:21" x14ac:dyDescent="0.2">
      <c r="A64" s="1" t="s">
        <v>199</v>
      </c>
      <c r="B64" s="1" t="s">
        <v>198</v>
      </c>
      <c r="C64" s="2">
        <v>2.886984</v>
      </c>
      <c r="D64" s="2">
        <v>2.7973319999999999</v>
      </c>
      <c r="E64" s="2">
        <v>2.9766360000000001</v>
      </c>
      <c r="F64" s="1">
        <v>61</v>
      </c>
      <c r="G64" s="1">
        <v>57</v>
      </c>
      <c r="H64" s="1">
        <v>72</v>
      </c>
      <c r="I64" s="2">
        <f>(C64-1)*100/($C$4-1)</f>
        <v>58.941652579273594</v>
      </c>
      <c r="J64" s="2">
        <v>2.4178440000000001</v>
      </c>
      <c r="K64" s="1">
        <v>98</v>
      </c>
      <c r="L64" s="2">
        <v>2.7735089999999998</v>
      </c>
      <c r="M64" s="1">
        <v>62</v>
      </c>
      <c r="N64" s="2">
        <v>2.923781</v>
      </c>
      <c r="O64" s="1">
        <v>59</v>
      </c>
      <c r="P64" s="2">
        <v>2.7770429999999999</v>
      </c>
      <c r="Q64" s="1">
        <v>68</v>
      </c>
      <c r="R64" s="2">
        <v>3.0469889999999999</v>
      </c>
      <c r="S64" s="1">
        <v>58</v>
      </c>
      <c r="T64" s="2">
        <v>3.3689420000000001</v>
      </c>
      <c r="U64" s="1">
        <v>58</v>
      </c>
    </row>
    <row r="65" spans="1:21" x14ac:dyDescent="0.2">
      <c r="A65" s="1" t="s">
        <v>197</v>
      </c>
      <c r="B65" s="1" t="s">
        <v>196</v>
      </c>
      <c r="C65" s="2">
        <v>2.8816489999999999</v>
      </c>
      <c r="D65" s="2">
        <v>2.7163909999999998</v>
      </c>
      <c r="E65" s="2">
        <v>3.046907</v>
      </c>
      <c r="F65" s="1">
        <v>62</v>
      </c>
      <c r="G65" s="1">
        <v>52</v>
      </c>
      <c r="H65" s="1">
        <v>79</v>
      </c>
      <c r="I65" s="2">
        <f>(C65-1)*100/($C$4-1)</f>
        <v>58.775009027176473</v>
      </c>
      <c r="J65" s="2">
        <v>2.8016559999999999</v>
      </c>
      <c r="K65" s="1">
        <v>48</v>
      </c>
      <c r="L65" s="2">
        <v>2.7217769999999999</v>
      </c>
      <c r="M65" s="1">
        <v>69</v>
      </c>
      <c r="N65" s="2">
        <v>2.7513550000000002</v>
      </c>
      <c r="O65" s="1">
        <v>80</v>
      </c>
      <c r="P65" s="2">
        <v>2.7507359999999998</v>
      </c>
      <c r="Q65" s="1">
        <v>70</v>
      </c>
      <c r="R65" s="2">
        <v>3.0707360000000001</v>
      </c>
      <c r="S65" s="1">
        <v>55</v>
      </c>
      <c r="T65" s="2">
        <v>3.1899540000000002</v>
      </c>
      <c r="U65" s="1">
        <v>75</v>
      </c>
    </row>
    <row r="66" spans="1:21" x14ac:dyDescent="0.2">
      <c r="A66" s="1" t="s">
        <v>195</v>
      </c>
      <c r="B66" s="1" t="s">
        <v>194</v>
      </c>
      <c r="C66" s="2">
        <v>2.8612120000000001</v>
      </c>
      <c r="D66" s="2">
        <v>2.5432939999999999</v>
      </c>
      <c r="E66" s="2">
        <v>3.1791290000000001</v>
      </c>
      <c r="F66" s="1">
        <v>63</v>
      </c>
      <c r="G66" s="1">
        <v>44</v>
      </c>
      <c r="H66" s="1">
        <v>108</v>
      </c>
      <c r="I66" s="2">
        <f>(C66-1)*100/($C$4-1)</f>
        <v>58.136640840820576</v>
      </c>
      <c r="J66" s="2">
        <v>2.7254550000000002</v>
      </c>
      <c r="K66" s="1">
        <v>56</v>
      </c>
      <c r="L66" s="2">
        <v>3.0218180000000001</v>
      </c>
      <c r="M66" s="1">
        <v>45</v>
      </c>
      <c r="N66" s="2">
        <v>2.6272730000000002</v>
      </c>
      <c r="O66" s="1">
        <v>98</v>
      </c>
      <c r="P66" s="2">
        <v>2.7965369999999998</v>
      </c>
      <c r="Q66" s="1">
        <v>67</v>
      </c>
      <c r="R66" s="2">
        <v>2.658442</v>
      </c>
      <c r="S66" s="1">
        <v>96</v>
      </c>
      <c r="T66" s="2">
        <v>3.3679649999999999</v>
      </c>
      <c r="U66" s="1">
        <v>59</v>
      </c>
    </row>
    <row r="67" spans="1:21" x14ac:dyDescent="0.2">
      <c r="A67" s="1" t="s">
        <v>193</v>
      </c>
      <c r="B67" s="1" t="s">
        <v>192</v>
      </c>
      <c r="C67" s="2">
        <v>2.8527209999999998</v>
      </c>
      <c r="D67" s="2">
        <v>2.5042900000000001</v>
      </c>
      <c r="E67" s="2">
        <v>3.2011530000000001</v>
      </c>
      <c r="F67" s="1">
        <v>64</v>
      </c>
      <c r="G67" s="1">
        <v>43</v>
      </c>
      <c r="H67" s="1">
        <v>114</v>
      </c>
      <c r="I67" s="2">
        <f>(C67-1)*100/($C$4-1)</f>
        <v>57.871416773181096</v>
      </c>
      <c r="J67" s="2">
        <v>2.625</v>
      </c>
      <c r="K67" s="1">
        <v>71</v>
      </c>
      <c r="L67" s="2">
        <v>2.7667039999999998</v>
      </c>
      <c r="M67" s="1">
        <v>63</v>
      </c>
      <c r="N67" s="2">
        <v>2.7567710000000001</v>
      </c>
      <c r="O67" s="1">
        <v>79</v>
      </c>
      <c r="P67" s="2">
        <v>2.8381319999999999</v>
      </c>
      <c r="Q67" s="1">
        <v>62</v>
      </c>
      <c r="R67" s="2">
        <v>2.7667039999999998</v>
      </c>
      <c r="S67" s="1">
        <v>85</v>
      </c>
      <c r="T67" s="2">
        <v>3.355769</v>
      </c>
      <c r="U67" s="1">
        <v>60</v>
      </c>
    </row>
    <row r="68" spans="1:21" x14ac:dyDescent="0.2">
      <c r="A68" s="1" t="s">
        <v>191</v>
      </c>
      <c r="B68" s="1" t="s">
        <v>190</v>
      </c>
      <c r="C68" s="2">
        <v>2.8409529999999998</v>
      </c>
      <c r="D68" s="2">
        <v>2.5895030000000001</v>
      </c>
      <c r="E68" s="2">
        <v>3.0924040000000002</v>
      </c>
      <c r="F68" s="1">
        <v>65</v>
      </c>
      <c r="G68" s="1">
        <v>50</v>
      </c>
      <c r="H68" s="1">
        <v>96</v>
      </c>
      <c r="I68" s="2">
        <f>(C68-1)*100/($C$4-1)</f>
        <v>57.503832645518699</v>
      </c>
      <c r="J68" s="2">
        <v>2.597121</v>
      </c>
      <c r="K68" s="1">
        <v>78</v>
      </c>
      <c r="L68" s="2">
        <v>2.5998770000000002</v>
      </c>
      <c r="M68" s="1">
        <v>74</v>
      </c>
      <c r="N68" s="2">
        <v>2.971317</v>
      </c>
      <c r="O68" s="1">
        <v>57</v>
      </c>
      <c r="P68" s="2">
        <v>2.70465</v>
      </c>
      <c r="Q68" s="1">
        <v>80</v>
      </c>
      <c r="R68" s="2">
        <v>2.7890109999999999</v>
      </c>
      <c r="S68" s="1">
        <v>76</v>
      </c>
      <c r="T68" s="2">
        <v>3.333418</v>
      </c>
      <c r="U68" s="1">
        <v>62</v>
      </c>
    </row>
    <row r="69" spans="1:21" x14ac:dyDescent="0.2">
      <c r="A69" s="1" t="s">
        <v>189</v>
      </c>
      <c r="B69" s="1" t="s">
        <v>188</v>
      </c>
      <c r="C69" s="2">
        <v>2.8301780000000001</v>
      </c>
      <c r="D69" s="2">
        <v>2.621232</v>
      </c>
      <c r="E69" s="2">
        <v>3.0391240000000002</v>
      </c>
      <c r="F69" s="1">
        <v>66</v>
      </c>
      <c r="G69" s="1">
        <v>52</v>
      </c>
      <c r="H69" s="1">
        <v>91</v>
      </c>
      <c r="I69" s="2">
        <f>(C69-1)*100/($C$4-1)</f>
        <v>57.167265771320693</v>
      </c>
      <c r="J69" s="2">
        <v>2.4911799999999999</v>
      </c>
      <c r="K69" s="1">
        <v>89</v>
      </c>
      <c r="L69" s="2">
        <v>2.2212960000000002</v>
      </c>
      <c r="M69" s="1">
        <v>119</v>
      </c>
      <c r="N69" s="2">
        <v>2.8292820000000001</v>
      </c>
      <c r="O69" s="1">
        <v>68</v>
      </c>
      <c r="P69" s="2">
        <v>2.8426309999999999</v>
      </c>
      <c r="Q69" s="1">
        <v>61</v>
      </c>
      <c r="R69" s="2">
        <v>3.1092979999999999</v>
      </c>
      <c r="S69" s="1">
        <v>52</v>
      </c>
      <c r="T69" s="2">
        <v>3.422145</v>
      </c>
      <c r="U69" s="1">
        <v>56</v>
      </c>
    </row>
    <row r="70" spans="1:21" x14ac:dyDescent="0.2">
      <c r="A70" s="1" t="s">
        <v>187</v>
      </c>
      <c r="B70" s="1" t="s">
        <v>186</v>
      </c>
      <c r="C70" s="2">
        <v>2.8249019999999998</v>
      </c>
      <c r="D70" s="2">
        <v>2.4835639999999999</v>
      </c>
      <c r="E70" s="2">
        <v>3.1662400000000002</v>
      </c>
      <c r="F70" s="1">
        <v>67</v>
      </c>
      <c r="G70" s="1">
        <v>45</v>
      </c>
      <c r="H70" s="1">
        <v>115</v>
      </c>
      <c r="I70" s="2">
        <f>(C70-1)*100/($C$4-1)</f>
        <v>57.002465137606642</v>
      </c>
      <c r="J70" s="2">
        <v>2.6</v>
      </c>
      <c r="K70" s="1">
        <v>77</v>
      </c>
      <c r="L70" s="2">
        <v>2.8177780000000001</v>
      </c>
      <c r="M70" s="1">
        <v>58</v>
      </c>
      <c r="N70" s="2">
        <v>2.7918889999999998</v>
      </c>
      <c r="O70" s="1">
        <v>73</v>
      </c>
      <c r="P70" s="2">
        <v>2.8177780000000001</v>
      </c>
      <c r="Q70" s="1">
        <v>63</v>
      </c>
      <c r="R70" s="2">
        <v>2.7243889999999999</v>
      </c>
      <c r="S70" s="1">
        <v>89</v>
      </c>
      <c r="T70" s="2">
        <v>3.1943890000000001</v>
      </c>
      <c r="U70" s="1">
        <v>74</v>
      </c>
    </row>
    <row r="71" spans="1:21" x14ac:dyDescent="0.2">
      <c r="A71" s="1" t="s">
        <v>185</v>
      </c>
      <c r="B71" s="1" t="s">
        <v>184</v>
      </c>
      <c r="C71" s="2">
        <v>2.8149350000000002</v>
      </c>
      <c r="D71" s="2">
        <v>2.617273</v>
      </c>
      <c r="E71" s="2">
        <v>3.0125980000000001</v>
      </c>
      <c r="F71" s="1">
        <v>68</v>
      </c>
      <c r="G71" s="1">
        <v>55</v>
      </c>
      <c r="H71" s="1">
        <v>91</v>
      </c>
      <c r="I71" s="2">
        <f>(C71-1)*100/($C$4-1)</f>
        <v>56.691136874485387</v>
      </c>
      <c r="J71" s="2">
        <v>2.6538569999999999</v>
      </c>
      <c r="K71" s="1">
        <v>67</v>
      </c>
      <c r="L71" s="2">
        <v>2.5538859999999999</v>
      </c>
      <c r="M71" s="1">
        <v>79</v>
      </c>
      <c r="N71" s="2">
        <v>2.6218490000000001</v>
      </c>
      <c r="O71" s="1">
        <v>99</v>
      </c>
      <c r="P71" s="2">
        <v>2.810438</v>
      </c>
      <c r="Q71" s="1">
        <v>64</v>
      </c>
      <c r="R71" s="2">
        <v>3.0694859999999999</v>
      </c>
      <c r="S71" s="1">
        <v>56</v>
      </c>
      <c r="T71" s="2">
        <v>3.1761520000000001</v>
      </c>
      <c r="U71" s="1">
        <v>79</v>
      </c>
    </row>
    <row r="72" spans="1:21" x14ac:dyDescent="0.2">
      <c r="A72" s="1" t="s">
        <v>183</v>
      </c>
      <c r="B72" s="1" t="s">
        <v>182</v>
      </c>
      <c r="C72" s="2">
        <v>2.8137840000000001</v>
      </c>
      <c r="D72" s="2">
        <v>2.4145810000000001</v>
      </c>
      <c r="E72" s="2">
        <v>3.2129880000000002</v>
      </c>
      <c r="F72" s="1">
        <v>69</v>
      </c>
      <c r="G72" s="1">
        <v>42</v>
      </c>
      <c r="H72" s="1">
        <v>125</v>
      </c>
      <c r="I72" s="2">
        <f>(C72-1)*100/($C$4-1)</f>
        <v>56.655184348062932</v>
      </c>
      <c r="J72" s="2">
        <v>2.697778</v>
      </c>
      <c r="K72" s="1">
        <v>60</v>
      </c>
      <c r="L72" s="2">
        <v>2.9</v>
      </c>
      <c r="M72" s="1">
        <v>53</v>
      </c>
      <c r="N72" s="2">
        <v>2.7</v>
      </c>
      <c r="O72" s="1">
        <v>89</v>
      </c>
      <c r="P72" s="2">
        <v>2.8</v>
      </c>
      <c r="Q72" s="1">
        <v>66</v>
      </c>
      <c r="R72" s="2">
        <v>2.8</v>
      </c>
      <c r="S72" s="1">
        <v>75</v>
      </c>
      <c r="T72" s="2">
        <v>3.0054449999999999</v>
      </c>
      <c r="U72" s="1">
        <v>98</v>
      </c>
    </row>
    <row r="73" spans="1:21" x14ac:dyDescent="0.2">
      <c r="A73" s="1" t="s">
        <v>181</v>
      </c>
      <c r="B73" s="1" t="s">
        <v>180</v>
      </c>
      <c r="C73" s="2">
        <v>2.809949</v>
      </c>
      <c r="D73" s="2">
        <v>2.6219939999999999</v>
      </c>
      <c r="E73" s="2">
        <v>2.9979040000000001</v>
      </c>
      <c r="F73" s="1">
        <v>70</v>
      </c>
      <c r="G73" s="1">
        <v>56</v>
      </c>
      <c r="H73" s="1">
        <v>90</v>
      </c>
      <c r="I73" s="2">
        <f>(C73-1)*100/($C$4-1)</f>
        <v>56.535394653162754</v>
      </c>
      <c r="J73" s="2">
        <v>2.79657</v>
      </c>
      <c r="K73" s="1">
        <v>49</v>
      </c>
      <c r="L73" s="2">
        <v>2.9830000000000001</v>
      </c>
      <c r="M73" s="1">
        <v>49</v>
      </c>
      <c r="N73" s="2">
        <v>2.744904</v>
      </c>
      <c r="O73" s="1">
        <v>81</v>
      </c>
      <c r="P73" s="2">
        <v>2.6925500000000002</v>
      </c>
      <c r="Q73" s="1">
        <v>81</v>
      </c>
      <c r="R73" s="2">
        <v>2.787563</v>
      </c>
      <c r="S73" s="1">
        <v>77</v>
      </c>
      <c r="T73" s="2">
        <v>2.878851</v>
      </c>
      <c r="U73" s="1">
        <v>113</v>
      </c>
    </row>
    <row r="74" spans="1:21" x14ac:dyDescent="0.2">
      <c r="A74" s="1" t="s">
        <v>179</v>
      </c>
      <c r="B74" s="1" t="s">
        <v>178</v>
      </c>
      <c r="C74" s="2">
        <v>2.809936</v>
      </c>
      <c r="D74" s="2">
        <v>2.6311360000000001</v>
      </c>
      <c r="E74" s="2">
        <v>2.9887359999999998</v>
      </c>
      <c r="F74" s="1">
        <v>71</v>
      </c>
      <c r="G74" s="1">
        <v>56</v>
      </c>
      <c r="H74" s="1">
        <v>90</v>
      </c>
      <c r="I74" s="2">
        <f>(C74-1)*100/($C$4-1)</f>
        <v>56.534988586400374</v>
      </c>
      <c r="J74" s="2">
        <v>2.6638510000000002</v>
      </c>
      <c r="K74" s="1">
        <v>65</v>
      </c>
      <c r="L74" s="2">
        <v>2.54616</v>
      </c>
      <c r="M74" s="1">
        <v>81</v>
      </c>
      <c r="N74" s="2">
        <v>2.73366</v>
      </c>
      <c r="O74" s="1">
        <v>84</v>
      </c>
      <c r="P74" s="2">
        <v>2.5770019999999998</v>
      </c>
      <c r="Q74" s="1">
        <v>90</v>
      </c>
      <c r="R74" s="2">
        <v>2.777002</v>
      </c>
      <c r="S74" s="1">
        <v>83</v>
      </c>
      <c r="T74" s="2">
        <v>3.525493</v>
      </c>
      <c r="U74" s="1">
        <v>50</v>
      </c>
    </row>
    <row r="75" spans="1:21" x14ac:dyDescent="0.2">
      <c r="A75" s="1" t="s">
        <v>177</v>
      </c>
      <c r="B75" s="1" t="s">
        <v>176</v>
      </c>
      <c r="C75" s="2">
        <v>2.8085650000000002</v>
      </c>
      <c r="D75" s="2">
        <v>2.6156229999999998</v>
      </c>
      <c r="E75" s="2">
        <v>3.0015079999999998</v>
      </c>
      <c r="F75" s="1">
        <v>72</v>
      </c>
      <c r="G75" s="1">
        <v>56</v>
      </c>
      <c r="H75" s="1">
        <v>91</v>
      </c>
      <c r="I75" s="2">
        <f>(C75-1)*100/($C$4-1)</f>
        <v>56.492164160922378</v>
      </c>
      <c r="J75" s="2">
        <v>2.6315789999999999</v>
      </c>
      <c r="K75" s="1">
        <v>69</v>
      </c>
      <c r="L75" s="2">
        <v>2.4210530000000001</v>
      </c>
      <c r="M75" s="1">
        <v>97</v>
      </c>
      <c r="N75" s="2">
        <v>2.8421050000000001</v>
      </c>
      <c r="O75" s="1">
        <v>66</v>
      </c>
      <c r="P75" s="2">
        <v>2.8017539999999999</v>
      </c>
      <c r="Q75" s="1">
        <v>65</v>
      </c>
      <c r="R75" s="2">
        <v>2.8947370000000001</v>
      </c>
      <c r="S75" s="1">
        <v>70</v>
      </c>
      <c r="T75" s="2">
        <v>3.2105260000000002</v>
      </c>
      <c r="U75" s="1">
        <v>72</v>
      </c>
    </row>
    <row r="76" spans="1:21" x14ac:dyDescent="0.2">
      <c r="A76" s="1" t="s">
        <v>175</v>
      </c>
      <c r="B76" s="1" t="s">
        <v>174</v>
      </c>
      <c r="C76" s="2">
        <v>2.7916639999999999</v>
      </c>
      <c r="D76" s="2">
        <v>2.6286610000000001</v>
      </c>
      <c r="E76" s="2">
        <v>2.9546670000000002</v>
      </c>
      <c r="F76" s="1">
        <v>73</v>
      </c>
      <c r="G76" s="1">
        <v>58</v>
      </c>
      <c r="H76" s="1">
        <v>90</v>
      </c>
      <c r="I76" s="2">
        <f>(C76-1)*100/($C$4-1)</f>
        <v>55.96424613393205</v>
      </c>
      <c r="J76" s="2">
        <v>2.6275409999999999</v>
      </c>
      <c r="K76" s="1">
        <v>70</v>
      </c>
      <c r="L76" s="2">
        <v>2.494408</v>
      </c>
      <c r="M76" s="1">
        <v>84</v>
      </c>
      <c r="N76" s="2">
        <v>2.7773270000000001</v>
      </c>
      <c r="O76" s="1">
        <v>76</v>
      </c>
      <c r="P76" s="2">
        <v>2.7049660000000002</v>
      </c>
      <c r="Q76" s="1">
        <v>79</v>
      </c>
      <c r="R76" s="2">
        <v>2.9583599999999999</v>
      </c>
      <c r="S76" s="1">
        <v>67</v>
      </c>
      <c r="T76" s="2">
        <v>3.155408</v>
      </c>
      <c r="U76" s="1">
        <v>83</v>
      </c>
    </row>
    <row r="77" spans="1:21" x14ac:dyDescent="0.2">
      <c r="A77" s="1" t="s">
        <v>173</v>
      </c>
      <c r="B77" s="1" t="s">
        <v>172</v>
      </c>
      <c r="C77" s="2">
        <v>2.7822990000000001</v>
      </c>
      <c r="D77" s="2">
        <v>2.5784669999999998</v>
      </c>
      <c r="E77" s="2">
        <v>2.9861309999999999</v>
      </c>
      <c r="F77" s="1">
        <v>74</v>
      </c>
      <c r="G77" s="1">
        <v>56</v>
      </c>
      <c r="H77" s="1">
        <v>98</v>
      </c>
      <c r="I77" s="2">
        <f>(C77-1)*100/($C$4-1)</f>
        <v>55.671721885499167</v>
      </c>
      <c r="J77" s="2">
        <v>2.64</v>
      </c>
      <c r="K77" s="1">
        <v>68</v>
      </c>
      <c r="L77" s="2">
        <v>2.5470130000000002</v>
      </c>
      <c r="M77" s="1">
        <v>80</v>
      </c>
      <c r="N77" s="2">
        <v>2.693257</v>
      </c>
      <c r="O77" s="1">
        <v>91</v>
      </c>
      <c r="P77" s="2">
        <v>2.7219500000000001</v>
      </c>
      <c r="Q77" s="1">
        <v>76</v>
      </c>
      <c r="R77" s="2">
        <v>2.6132949999999999</v>
      </c>
      <c r="S77" s="1">
        <v>101</v>
      </c>
      <c r="T77" s="2">
        <v>3.4453659999999999</v>
      </c>
      <c r="U77" s="1">
        <v>55</v>
      </c>
    </row>
    <row r="78" spans="1:21" x14ac:dyDescent="0.2">
      <c r="A78" s="1" t="s">
        <v>171</v>
      </c>
      <c r="B78" s="1" t="s">
        <v>170</v>
      </c>
      <c r="C78" s="2">
        <v>2.7568890000000001</v>
      </c>
      <c r="D78" s="2">
        <v>2.6464690000000002</v>
      </c>
      <c r="E78" s="2">
        <v>2.8673090000000001</v>
      </c>
      <c r="F78" s="1">
        <v>75</v>
      </c>
      <c r="G78" s="1">
        <v>63</v>
      </c>
      <c r="H78" s="1">
        <v>89</v>
      </c>
      <c r="I78" s="2">
        <f>(C78-1)*100/($C$4-1)</f>
        <v>54.878017544583003</v>
      </c>
      <c r="J78" s="2">
        <v>2.420382</v>
      </c>
      <c r="K78" s="1">
        <v>97</v>
      </c>
      <c r="L78" s="2">
        <v>2.7751800000000002</v>
      </c>
      <c r="M78" s="1">
        <v>61</v>
      </c>
      <c r="N78" s="2">
        <v>2.6440320000000002</v>
      </c>
      <c r="O78" s="1">
        <v>96</v>
      </c>
      <c r="P78" s="2">
        <v>2.7492700000000001</v>
      </c>
      <c r="Q78" s="1">
        <v>71</v>
      </c>
      <c r="R78" s="2">
        <v>2.646039</v>
      </c>
      <c r="S78" s="1">
        <v>97</v>
      </c>
      <c r="T78" s="2">
        <v>3.3133029999999999</v>
      </c>
      <c r="U78" s="1">
        <v>66</v>
      </c>
    </row>
    <row r="79" spans="1:21" x14ac:dyDescent="0.2">
      <c r="A79" s="1" t="s">
        <v>169</v>
      </c>
      <c r="B79" s="1" t="s">
        <v>168</v>
      </c>
      <c r="C79" s="2">
        <v>2.749889</v>
      </c>
      <c r="D79" s="2">
        <v>2.5390839999999999</v>
      </c>
      <c r="E79" s="2">
        <v>2.960693</v>
      </c>
      <c r="F79" s="1">
        <v>76</v>
      </c>
      <c r="G79" s="1">
        <v>58</v>
      </c>
      <c r="H79" s="1">
        <v>109</v>
      </c>
      <c r="I79" s="2">
        <f>(C79-1)*100/($C$4-1)</f>
        <v>54.659366210997284</v>
      </c>
      <c r="J79" s="2">
        <v>2.5625</v>
      </c>
      <c r="K79" s="1">
        <v>82</v>
      </c>
      <c r="L79" s="2">
        <v>2.4969950000000001</v>
      </c>
      <c r="M79" s="1">
        <v>83</v>
      </c>
      <c r="N79" s="2">
        <v>2.7338939999999998</v>
      </c>
      <c r="O79" s="1">
        <v>83</v>
      </c>
      <c r="P79" s="2">
        <v>2.502329</v>
      </c>
      <c r="Q79" s="1">
        <v>98</v>
      </c>
      <c r="R79" s="2">
        <v>2.7484220000000001</v>
      </c>
      <c r="S79" s="1">
        <v>87</v>
      </c>
      <c r="T79" s="2">
        <v>3.4157449999999998</v>
      </c>
      <c r="U79" s="1">
        <v>57</v>
      </c>
    </row>
    <row r="80" spans="1:21" x14ac:dyDescent="0.2">
      <c r="A80" s="1" t="s">
        <v>167</v>
      </c>
      <c r="B80" s="1" t="s">
        <v>166</v>
      </c>
      <c r="C80" s="2">
        <v>2.7456320000000001</v>
      </c>
      <c r="D80" s="2">
        <v>2.557852</v>
      </c>
      <c r="E80" s="2">
        <v>2.933411</v>
      </c>
      <c r="F80" s="1">
        <v>77</v>
      </c>
      <c r="G80" s="1">
        <v>60</v>
      </c>
      <c r="H80" s="1">
        <v>106</v>
      </c>
      <c r="I80" s="2">
        <f>(C80-1)*100/($C$4-1)</f>
        <v>54.526394964272363</v>
      </c>
      <c r="J80" s="2">
        <v>2.561131</v>
      </c>
      <c r="K80" s="1">
        <v>83</v>
      </c>
      <c r="L80" s="2">
        <v>2.5747610000000001</v>
      </c>
      <c r="M80" s="1">
        <v>75</v>
      </c>
      <c r="N80" s="2">
        <v>2.6840869999999999</v>
      </c>
      <c r="O80" s="1">
        <v>92</v>
      </c>
      <c r="P80" s="2">
        <v>2.7237140000000002</v>
      </c>
      <c r="Q80" s="1">
        <v>74</v>
      </c>
      <c r="R80" s="2">
        <v>2.5751599999999999</v>
      </c>
      <c r="S80" s="1">
        <v>105</v>
      </c>
      <c r="T80" s="2">
        <v>3.3290440000000001</v>
      </c>
      <c r="U80" s="1">
        <v>63</v>
      </c>
    </row>
    <row r="81" spans="1:21" x14ac:dyDescent="0.2">
      <c r="A81" s="1" t="s">
        <v>165</v>
      </c>
      <c r="B81" s="1" t="s">
        <v>164</v>
      </c>
      <c r="C81" s="2">
        <v>2.732952</v>
      </c>
      <c r="D81" s="2">
        <v>2.4514819999999999</v>
      </c>
      <c r="E81" s="2">
        <v>3.0144229999999999</v>
      </c>
      <c r="F81" s="1">
        <v>78</v>
      </c>
      <c r="G81" s="1">
        <v>55</v>
      </c>
      <c r="H81" s="1">
        <v>116</v>
      </c>
      <c r="I81" s="2">
        <f>(C81-1)*100/($C$4-1)</f>
        <v>54.130323691434235</v>
      </c>
      <c r="J81" s="2">
        <v>2.7050000000000001</v>
      </c>
      <c r="K81" s="1">
        <v>59</v>
      </c>
      <c r="L81" s="2">
        <v>2.8</v>
      </c>
      <c r="M81" s="1">
        <v>59</v>
      </c>
      <c r="N81" s="2">
        <v>2.12</v>
      </c>
      <c r="O81" s="1">
        <v>151</v>
      </c>
      <c r="P81" s="2">
        <v>2.8563100000000001</v>
      </c>
      <c r="Q81" s="1">
        <v>59</v>
      </c>
      <c r="R81" s="2">
        <v>2.9991669999999999</v>
      </c>
      <c r="S81" s="1">
        <v>63</v>
      </c>
      <c r="T81" s="2">
        <v>2.9991669999999999</v>
      </c>
      <c r="U81" s="1">
        <v>99</v>
      </c>
    </row>
    <row r="82" spans="1:21" x14ac:dyDescent="0.2">
      <c r="A82" s="1" t="s">
        <v>163</v>
      </c>
      <c r="B82" s="1" t="s">
        <v>162</v>
      </c>
      <c r="C82" s="2">
        <v>2.716853</v>
      </c>
      <c r="D82" s="2">
        <v>2.4312109999999998</v>
      </c>
      <c r="E82" s="2">
        <v>3.002494</v>
      </c>
      <c r="F82" s="1">
        <v>79</v>
      </c>
      <c r="G82" s="1">
        <v>56</v>
      </c>
      <c r="H82" s="1">
        <v>119</v>
      </c>
      <c r="I82" s="2">
        <f>(C82-1)*100/($C$4-1)</f>
        <v>53.627456860091868</v>
      </c>
      <c r="J82" s="2">
        <v>2.3846150000000002</v>
      </c>
      <c r="K82" s="1">
        <v>106</v>
      </c>
      <c r="L82" s="2">
        <v>2.6370809999999998</v>
      </c>
      <c r="M82" s="1">
        <v>73</v>
      </c>
      <c r="N82" s="2">
        <v>2.803747</v>
      </c>
      <c r="O82" s="1">
        <v>70</v>
      </c>
      <c r="P82" s="2">
        <v>2.4704139999999999</v>
      </c>
      <c r="Q82" s="1">
        <v>104</v>
      </c>
      <c r="R82" s="2">
        <v>2.803747</v>
      </c>
      <c r="S82" s="1">
        <v>74</v>
      </c>
      <c r="T82" s="2">
        <v>3.1796489999999999</v>
      </c>
      <c r="U82" s="1">
        <v>77</v>
      </c>
    </row>
    <row r="83" spans="1:21" x14ac:dyDescent="0.2">
      <c r="A83" s="1" t="s">
        <v>161</v>
      </c>
      <c r="B83" s="1" t="s">
        <v>160</v>
      </c>
      <c r="C83" s="2">
        <v>2.7065570000000001</v>
      </c>
      <c r="D83" s="2">
        <v>2.507244</v>
      </c>
      <c r="E83" s="2">
        <v>2.9058700000000002</v>
      </c>
      <c r="F83" s="1">
        <v>80</v>
      </c>
      <c r="G83" s="1">
        <v>60</v>
      </c>
      <c r="H83" s="1">
        <v>114</v>
      </c>
      <c r="I83" s="2">
        <f>(C83-1)*100/($C$4-1)</f>
        <v>53.30585198429209</v>
      </c>
      <c r="J83" s="2">
        <v>2.6220140000000001</v>
      </c>
      <c r="K83" s="1">
        <v>73</v>
      </c>
      <c r="L83" s="2">
        <v>2.4609459999999999</v>
      </c>
      <c r="M83" s="1">
        <v>89</v>
      </c>
      <c r="N83" s="2">
        <v>2.5133899999999998</v>
      </c>
      <c r="O83" s="1">
        <v>113</v>
      </c>
      <c r="P83" s="2">
        <v>2.7098270000000002</v>
      </c>
      <c r="Q83" s="1">
        <v>77</v>
      </c>
      <c r="R83" s="2">
        <v>2.7472439999999998</v>
      </c>
      <c r="S83" s="1">
        <v>88</v>
      </c>
      <c r="T83" s="2">
        <v>3.1736279999999999</v>
      </c>
      <c r="U83" s="1">
        <v>80</v>
      </c>
    </row>
    <row r="84" spans="1:21" x14ac:dyDescent="0.2">
      <c r="A84" s="1" t="s">
        <v>159</v>
      </c>
      <c r="B84" s="1" t="s">
        <v>158</v>
      </c>
      <c r="C84" s="2">
        <v>2.704895</v>
      </c>
      <c r="D84" s="2">
        <v>2.4389720000000001</v>
      </c>
      <c r="E84" s="2">
        <v>2.9708169999999998</v>
      </c>
      <c r="F84" s="1">
        <v>81</v>
      </c>
      <c r="G84" s="1">
        <v>58</v>
      </c>
      <c r="H84" s="1">
        <v>119</v>
      </c>
      <c r="I84" s="2">
        <f>(C84-1)*100/($C$4-1)</f>
        <v>53.25393791051787</v>
      </c>
      <c r="J84" s="2">
        <v>2.452814</v>
      </c>
      <c r="K84" s="1">
        <v>91</v>
      </c>
      <c r="L84" s="2">
        <v>2.4735930000000002</v>
      </c>
      <c r="M84" s="1">
        <v>87</v>
      </c>
      <c r="N84" s="2">
        <v>2.8372289999999998</v>
      </c>
      <c r="O84" s="1">
        <v>67</v>
      </c>
      <c r="P84" s="2">
        <v>2.74329</v>
      </c>
      <c r="Q84" s="1">
        <v>72</v>
      </c>
      <c r="R84" s="2">
        <v>2.6432899999999999</v>
      </c>
      <c r="S84" s="1">
        <v>100</v>
      </c>
      <c r="T84" s="2">
        <v>3.0349219999999999</v>
      </c>
      <c r="U84" s="1">
        <v>96</v>
      </c>
    </row>
    <row r="85" spans="1:21" x14ac:dyDescent="0.2">
      <c r="A85" s="1" t="s">
        <v>157</v>
      </c>
      <c r="B85" s="1" t="s">
        <v>156</v>
      </c>
      <c r="C85" s="2">
        <v>2.7002899999999999</v>
      </c>
      <c r="D85" s="2">
        <v>2.4676710000000002</v>
      </c>
      <c r="E85" s="2">
        <v>2.932909</v>
      </c>
      <c r="F85" s="1">
        <v>82</v>
      </c>
      <c r="G85" s="1">
        <v>60</v>
      </c>
      <c r="H85" s="1">
        <v>115</v>
      </c>
      <c r="I85" s="2">
        <f>(C85-1)*100/($C$4-1)</f>
        <v>53.110096568923268</v>
      </c>
      <c r="J85" s="2">
        <v>2.61287</v>
      </c>
      <c r="K85" s="1">
        <v>74</v>
      </c>
      <c r="L85" s="2">
        <v>2.4413269999999998</v>
      </c>
      <c r="M85" s="1">
        <v>91</v>
      </c>
      <c r="N85" s="2">
        <v>2.7156859999999998</v>
      </c>
      <c r="O85" s="1">
        <v>85</v>
      </c>
      <c r="P85" s="2">
        <v>2.6490200000000002</v>
      </c>
      <c r="Q85" s="1">
        <v>83</v>
      </c>
      <c r="R85" s="2">
        <v>2.9140220000000001</v>
      </c>
      <c r="S85" s="1">
        <v>69</v>
      </c>
      <c r="T85" s="2">
        <v>2.8425940000000001</v>
      </c>
      <c r="U85" s="1">
        <v>117</v>
      </c>
    </row>
    <row r="86" spans="1:21" x14ac:dyDescent="0.2">
      <c r="A86" s="1" t="s">
        <v>155</v>
      </c>
      <c r="B86" s="1" t="s">
        <v>154</v>
      </c>
      <c r="C86" s="2">
        <v>2.6932489999999998</v>
      </c>
      <c r="D86" s="2">
        <v>2.4753699999999998</v>
      </c>
      <c r="E86" s="2">
        <v>2.9111280000000002</v>
      </c>
      <c r="F86" s="1">
        <v>83</v>
      </c>
      <c r="G86" s="1">
        <v>60</v>
      </c>
      <c r="H86" s="1">
        <v>115</v>
      </c>
      <c r="I86" s="2">
        <f>(C86-1)*100/($C$4-1)</f>
        <v>52.890164563240823</v>
      </c>
      <c r="J86" s="2">
        <v>2.5294120000000002</v>
      </c>
      <c r="K86" s="1">
        <v>86</v>
      </c>
      <c r="L86" s="2">
        <v>2.281358</v>
      </c>
      <c r="M86" s="1">
        <v>111</v>
      </c>
      <c r="N86" s="2">
        <v>2.843858</v>
      </c>
      <c r="O86" s="1">
        <v>65</v>
      </c>
      <c r="P86" s="2">
        <v>2.421468</v>
      </c>
      <c r="Q86" s="1">
        <v>110</v>
      </c>
      <c r="R86" s="2">
        <v>2.5548009999999999</v>
      </c>
      <c r="S86" s="1">
        <v>108</v>
      </c>
      <c r="T86" s="2">
        <v>3.4455819999999999</v>
      </c>
      <c r="U86" s="1">
        <v>54</v>
      </c>
    </row>
    <row r="87" spans="1:21" x14ac:dyDescent="0.2">
      <c r="A87" s="1" t="s">
        <v>153</v>
      </c>
      <c r="B87" s="1" t="s">
        <v>152</v>
      </c>
      <c r="C87" s="2">
        <v>2.6879729999999999</v>
      </c>
      <c r="D87" s="2">
        <v>2.5203060000000002</v>
      </c>
      <c r="E87" s="2">
        <v>2.8556400000000002</v>
      </c>
      <c r="F87" s="1">
        <v>84</v>
      </c>
      <c r="G87" s="1">
        <v>64</v>
      </c>
      <c r="H87" s="1">
        <v>112</v>
      </c>
      <c r="I87" s="2">
        <f>(C87-1)*100/($C$4-1)</f>
        <v>52.725363929526793</v>
      </c>
      <c r="J87" s="2">
        <v>2.4913949999999998</v>
      </c>
      <c r="K87" s="1">
        <v>88</v>
      </c>
      <c r="L87" s="2">
        <v>2.718464</v>
      </c>
      <c r="M87" s="1">
        <v>70</v>
      </c>
      <c r="N87" s="2">
        <v>2.4433289999999999</v>
      </c>
      <c r="O87" s="1">
        <v>119</v>
      </c>
      <c r="P87" s="2">
        <v>2.5450780000000002</v>
      </c>
      <c r="Q87" s="1">
        <v>93</v>
      </c>
      <c r="R87" s="2">
        <v>2.7723499999999999</v>
      </c>
      <c r="S87" s="1">
        <v>84</v>
      </c>
      <c r="T87" s="2">
        <v>3.183243</v>
      </c>
      <c r="U87" s="1">
        <v>76</v>
      </c>
    </row>
    <row r="88" spans="1:21" x14ac:dyDescent="0.2">
      <c r="A88" s="1" t="s">
        <v>151</v>
      </c>
      <c r="B88" s="1" t="s">
        <v>150</v>
      </c>
      <c r="C88" s="2">
        <v>2.6850869999999998</v>
      </c>
      <c r="D88" s="2">
        <v>2.5048590000000002</v>
      </c>
      <c r="E88" s="2">
        <v>2.8653149999999998</v>
      </c>
      <c r="F88" s="1">
        <v>85</v>
      </c>
      <c r="G88" s="1">
        <v>63</v>
      </c>
      <c r="H88" s="1">
        <v>114</v>
      </c>
      <c r="I88" s="2">
        <f>(C88-1)*100/($C$4-1)</f>
        <v>52.635217108279875</v>
      </c>
      <c r="J88" s="2">
        <v>2.5148820000000001</v>
      </c>
      <c r="K88" s="1">
        <v>87</v>
      </c>
      <c r="L88" s="2">
        <v>2.4332400000000001</v>
      </c>
      <c r="M88" s="1">
        <v>94</v>
      </c>
      <c r="N88" s="2">
        <v>2.7349739999999998</v>
      </c>
      <c r="O88" s="1">
        <v>82</v>
      </c>
      <c r="P88" s="2">
        <v>2.7086260000000002</v>
      </c>
      <c r="Q88" s="1">
        <v>78</v>
      </c>
      <c r="R88" s="2">
        <v>2.7803529999999999</v>
      </c>
      <c r="S88" s="1">
        <v>82</v>
      </c>
      <c r="T88" s="2">
        <v>2.9064350000000001</v>
      </c>
      <c r="U88" s="1">
        <v>109</v>
      </c>
    </row>
    <row r="89" spans="1:21" x14ac:dyDescent="0.2">
      <c r="A89" s="1" t="s">
        <v>149</v>
      </c>
      <c r="B89" s="1" t="s">
        <v>148</v>
      </c>
      <c r="C89" s="2">
        <v>2.6654710000000001</v>
      </c>
      <c r="D89" s="2">
        <v>2.4420500000000001</v>
      </c>
      <c r="E89" s="2">
        <v>2.8888929999999999</v>
      </c>
      <c r="F89" s="1">
        <v>86</v>
      </c>
      <c r="G89" s="1">
        <v>61</v>
      </c>
      <c r="H89" s="1">
        <v>119</v>
      </c>
      <c r="I89" s="2">
        <f>(C89-1)*100/($C$4-1)</f>
        <v>52.022493599763102</v>
      </c>
      <c r="J89" s="2">
        <v>2.3987240000000001</v>
      </c>
      <c r="K89" s="1">
        <v>105</v>
      </c>
      <c r="L89" s="2">
        <v>2.7179220000000002</v>
      </c>
      <c r="M89" s="1">
        <v>71</v>
      </c>
      <c r="N89" s="2">
        <v>2.6590989999999999</v>
      </c>
      <c r="O89" s="1">
        <v>94</v>
      </c>
      <c r="P89" s="2">
        <v>2.2861500000000001</v>
      </c>
      <c r="Q89" s="1">
        <v>125</v>
      </c>
      <c r="R89" s="2">
        <v>2.6002749999999999</v>
      </c>
      <c r="S89" s="1">
        <v>104</v>
      </c>
      <c r="T89" s="2">
        <v>3.3228719999999998</v>
      </c>
      <c r="U89" s="1">
        <v>64</v>
      </c>
    </row>
    <row r="90" spans="1:21" x14ac:dyDescent="0.2">
      <c r="A90" s="1" t="s">
        <v>147</v>
      </c>
      <c r="B90" s="1" t="s">
        <v>146</v>
      </c>
      <c r="C90" s="2">
        <v>2.6617649999999999</v>
      </c>
      <c r="D90" s="2">
        <v>2.4856129999999999</v>
      </c>
      <c r="E90" s="2">
        <v>2.8379180000000002</v>
      </c>
      <c r="F90" s="1">
        <v>87</v>
      </c>
      <c r="G90" s="1">
        <v>66</v>
      </c>
      <c r="H90" s="1">
        <v>115</v>
      </c>
      <c r="I90" s="2">
        <f>(C90-1)*100/($C$4-1)</f>
        <v>51.906733336581866</v>
      </c>
      <c r="J90" s="2">
        <v>2.4050020000000001</v>
      </c>
      <c r="K90" s="1">
        <v>103</v>
      </c>
      <c r="L90" s="2">
        <v>2.357383</v>
      </c>
      <c r="M90" s="1">
        <v>105</v>
      </c>
      <c r="N90" s="2">
        <v>2.7700819999999999</v>
      </c>
      <c r="O90" s="1">
        <v>77</v>
      </c>
      <c r="P90" s="2">
        <v>2.4415719999999999</v>
      </c>
      <c r="Q90" s="1">
        <v>108</v>
      </c>
      <c r="R90" s="2">
        <v>2.9749050000000001</v>
      </c>
      <c r="S90" s="1">
        <v>65</v>
      </c>
      <c r="T90" s="2">
        <v>2.9805950000000001</v>
      </c>
      <c r="U90" s="1">
        <v>101</v>
      </c>
    </row>
    <row r="91" spans="1:21" x14ac:dyDescent="0.2">
      <c r="A91" s="1" t="s">
        <v>145</v>
      </c>
      <c r="B91" s="1" t="s">
        <v>144</v>
      </c>
      <c r="C91" s="2">
        <v>2.6596030000000002</v>
      </c>
      <c r="D91" s="2">
        <v>2.4609079999999999</v>
      </c>
      <c r="E91" s="2">
        <v>2.8582990000000001</v>
      </c>
      <c r="F91" s="1">
        <v>88</v>
      </c>
      <c r="G91" s="1">
        <v>64</v>
      </c>
      <c r="H91" s="1">
        <v>115</v>
      </c>
      <c r="I91" s="2">
        <f>(C91-1)*100/($C$4-1)</f>
        <v>51.839201310408676</v>
      </c>
      <c r="J91" s="2">
        <v>2.3471259999999998</v>
      </c>
      <c r="K91" s="1">
        <v>114</v>
      </c>
      <c r="L91" s="2">
        <v>2.2936740000000002</v>
      </c>
      <c r="M91" s="1">
        <v>110</v>
      </c>
      <c r="N91" s="2">
        <v>2.8238620000000001</v>
      </c>
      <c r="O91" s="1">
        <v>69</v>
      </c>
      <c r="P91" s="2">
        <v>2.5588980000000001</v>
      </c>
      <c r="Q91" s="1">
        <v>92</v>
      </c>
      <c r="R91" s="2">
        <v>2.6656469999999999</v>
      </c>
      <c r="S91" s="1">
        <v>95</v>
      </c>
      <c r="T91" s="2">
        <v>3.2026659999999998</v>
      </c>
      <c r="U91" s="1">
        <v>73</v>
      </c>
    </row>
    <row r="92" spans="1:21" x14ac:dyDescent="0.2">
      <c r="A92" s="1" t="s">
        <v>143</v>
      </c>
      <c r="B92" s="1" t="s">
        <v>142</v>
      </c>
      <c r="C92" s="2">
        <v>2.6532070000000001</v>
      </c>
      <c r="D92" s="2">
        <v>2.4700639999999998</v>
      </c>
      <c r="E92" s="2">
        <v>2.8363489999999998</v>
      </c>
      <c r="F92" s="1">
        <v>89</v>
      </c>
      <c r="G92" s="1">
        <v>66</v>
      </c>
      <c r="H92" s="1">
        <v>115</v>
      </c>
      <c r="I92" s="2">
        <f>(C92-1)*100/($C$4-1)</f>
        <v>51.639416463320927</v>
      </c>
      <c r="J92" s="2">
        <v>2.714286</v>
      </c>
      <c r="K92" s="1">
        <v>57</v>
      </c>
      <c r="L92" s="2">
        <v>2.3304960000000001</v>
      </c>
      <c r="M92" s="1">
        <v>106</v>
      </c>
      <c r="N92" s="2">
        <v>2.4159860000000002</v>
      </c>
      <c r="O92" s="1">
        <v>121</v>
      </c>
      <c r="P92" s="2">
        <v>2.6462850000000002</v>
      </c>
      <c r="Q92" s="1">
        <v>84</v>
      </c>
      <c r="R92" s="2">
        <v>2.7833169999999998</v>
      </c>
      <c r="S92" s="1">
        <v>81</v>
      </c>
      <c r="T92" s="2">
        <v>3.0147059999999999</v>
      </c>
      <c r="U92" s="1">
        <v>97</v>
      </c>
    </row>
    <row r="93" spans="1:21" x14ac:dyDescent="0.2">
      <c r="A93" s="1" t="s">
        <v>141</v>
      </c>
      <c r="B93" s="1" t="s">
        <v>140</v>
      </c>
      <c r="C93" s="2">
        <v>2.6346210000000001</v>
      </c>
      <c r="D93" s="2">
        <v>2.3662990000000002</v>
      </c>
      <c r="E93" s="2">
        <v>2.9029430000000001</v>
      </c>
      <c r="F93" s="1">
        <v>90</v>
      </c>
      <c r="G93" s="1">
        <v>61</v>
      </c>
      <c r="H93" s="1">
        <v>130</v>
      </c>
      <c r="I93" s="2">
        <f>(C93-1)*100/($C$4-1)</f>
        <v>51.058865936746045</v>
      </c>
      <c r="J93" s="2">
        <v>2.347337</v>
      </c>
      <c r="K93" s="1">
        <v>113</v>
      </c>
      <c r="L93" s="2">
        <v>2.7917809999999998</v>
      </c>
      <c r="M93" s="1">
        <v>60</v>
      </c>
      <c r="N93" s="2">
        <v>2.454545</v>
      </c>
      <c r="O93" s="1">
        <v>118</v>
      </c>
      <c r="P93" s="2">
        <v>2.249587</v>
      </c>
      <c r="Q93" s="1">
        <v>135</v>
      </c>
      <c r="R93" s="2">
        <v>2.8495870000000001</v>
      </c>
      <c r="S93" s="1">
        <v>72</v>
      </c>
      <c r="T93" s="2">
        <v>3.1504129999999999</v>
      </c>
      <c r="U93" s="1">
        <v>85</v>
      </c>
    </row>
    <row r="94" spans="1:21" x14ac:dyDescent="0.2">
      <c r="A94" s="1" t="s">
        <v>139</v>
      </c>
      <c r="B94" s="1" t="s">
        <v>138</v>
      </c>
      <c r="C94" s="2">
        <v>2.621464</v>
      </c>
      <c r="D94" s="2">
        <v>2.3411439999999999</v>
      </c>
      <c r="E94" s="2">
        <v>2.901783</v>
      </c>
      <c r="F94" s="1">
        <v>91</v>
      </c>
      <c r="G94" s="1">
        <v>61</v>
      </c>
      <c r="H94" s="1">
        <v>133</v>
      </c>
      <c r="I94" s="2">
        <f>(C94-1)*100/($C$4-1)</f>
        <v>50.647895137319281</v>
      </c>
      <c r="J94" s="2">
        <v>2.4128790000000002</v>
      </c>
      <c r="K94" s="1">
        <v>100</v>
      </c>
      <c r="L94" s="2">
        <v>2.430736</v>
      </c>
      <c r="M94" s="1">
        <v>95</v>
      </c>
      <c r="N94" s="2">
        <v>2.9177490000000001</v>
      </c>
      <c r="O94" s="1">
        <v>60</v>
      </c>
      <c r="P94" s="2">
        <v>2.4599570000000002</v>
      </c>
      <c r="Q94" s="1">
        <v>106</v>
      </c>
      <c r="R94" s="2">
        <v>2.4015149999999998</v>
      </c>
      <c r="S94" s="1">
        <v>124</v>
      </c>
      <c r="T94" s="2">
        <v>3.0378790000000002</v>
      </c>
      <c r="U94" s="1">
        <v>95</v>
      </c>
    </row>
    <row r="95" spans="1:21" x14ac:dyDescent="0.2">
      <c r="A95" s="1" t="s">
        <v>137</v>
      </c>
      <c r="B95" s="1" t="s">
        <v>136</v>
      </c>
      <c r="C95" s="2">
        <v>2.6076069999999998</v>
      </c>
      <c r="D95" s="2">
        <v>2.4181650000000001</v>
      </c>
      <c r="E95" s="2">
        <v>2.79705</v>
      </c>
      <c r="F95" s="1">
        <v>92</v>
      </c>
      <c r="G95" s="1">
        <v>73</v>
      </c>
      <c r="H95" s="1">
        <v>122</v>
      </c>
      <c r="I95" s="2">
        <f>(C95-1)*100/($C$4-1)</f>
        <v>50.215059204533944</v>
      </c>
      <c r="J95" s="2">
        <v>2.5737869999999998</v>
      </c>
      <c r="K95" s="1">
        <v>81</v>
      </c>
      <c r="L95" s="2">
        <v>2.4841090000000001</v>
      </c>
      <c r="M95" s="1">
        <v>86</v>
      </c>
      <c r="N95" s="2">
        <v>2.6490589999999998</v>
      </c>
      <c r="O95" s="1">
        <v>95</v>
      </c>
      <c r="P95" s="2">
        <v>2.503441</v>
      </c>
      <c r="Q95" s="1">
        <v>97</v>
      </c>
      <c r="R95" s="2">
        <v>2.511196</v>
      </c>
      <c r="S95" s="1">
        <v>113</v>
      </c>
      <c r="T95" s="2">
        <v>2.8960620000000001</v>
      </c>
      <c r="U95" s="1">
        <v>111</v>
      </c>
    </row>
    <row r="96" spans="1:21" x14ac:dyDescent="0.2">
      <c r="A96" s="1" t="s">
        <v>135</v>
      </c>
      <c r="B96" s="1" t="s">
        <v>134</v>
      </c>
      <c r="C96" s="2">
        <v>2.6039180000000002</v>
      </c>
      <c r="D96" s="2">
        <v>2.4514710000000002</v>
      </c>
      <c r="E96" s="2">
        <v>2.7563650000000002</v>
      </c>
      <c r="F96" s="1">
        <v>93</v>
      </c>
      <c r="G96" s="1">
        <v>76</v>
      </c>
      <c r="H96" s="1">
        <v>116</v>
      </c>
      <c r="I96" s="2">
        <f>(C96-1)*100/($C$4-1)</f>
        <v>50.099829951734279</v>
      </c>
      <c r="J96" s="2">
        <v>2.2388150000000002</v>
      </c>
      <c r="K96" s="1">
        <v>125</v>
      </c>
      <c r="L96" s="2">
        <v>2.4734029999999998</v>
      </c>
      <c r="M96" s="1">
        <v>88</v>
      </c>
      <c r="N96" s="2">
        <v>2.6622919999999999</v>
      </c>
      <c r="O96" s="1">
        <v>93</v>
      </c>
      <c r="P96" s="2">
        <v>2.7229230000000002</v>
      </c>
      <c r="Q96" s="1">
        <v>75</v>
      </c>
      <c r="R96" s="2">
        <v>2.6774680000000002</v>
      </c>
      <c r="S96" s="1">
        <v>93</v>
      </c>
      <c r="T96" s="2">
        <v>2.833523</v>
      </c>
      <c r="U96" s="1">
        <v>118</v>
      </c>
    </row>
    <row r="97" spans="1:21" x14ac:dyDescent="0.2">
      <c r="A97" s="1" t="s">
        <v>133</v>
      </c>
      <c r="B97" s="1" t="s">
        <v>132</v>
      </c>
      <c r="C97" s="2">
        <v>2.597928</v>
      </c>
      <c r="D97" s="2">
        <v>2.3223919999999998</v>
      </c>
      <c r="E97" s="2">
        <v>2.8734630000000001</v>
      </c>
      <c r="F97" s="1">
        <v>94</v>
      </c>
      <c r="G97" s="1">
        <v>63</v>
      </c>
      <c r="H97" s="1">
        <v>135</v>
      </c>
      <c r="I97" s="2">
        <f>(C97-1)*100/($C$4-1)</f>
        <v>49.912726881994494</v>
      </c>
      <c r="J97" s="2">
        <v>2.582417</v>
      </c>
      <c r="K97" s="1">
        <v>79</v>
      </c>
      <c r="L97" s="2">
        <v>2.4890110000000001</v>
      </c>
      <c r="M97" s="1">
        <v>85</v>
      </c>
      <c r="N97" s="2">
        <v>2.5147349999999999</v>
      </c>
      <c r="O97" s="1">
        <v>112</v>
      </c>
      <c r="P97" s="2">
        <v>2.423826</v>
      </c>
      <c r="Q97" s="1">
        <v>109</v>
      </c>
      <c r="R97" s="2">
        <v>2.7874620000000001</v>
      </c>
      <c r="S97" s="1">
        <v>78</v>
      </c>
      <c r="T97" s="2">
        <v>2.7874620000000001</v>
      </c>
      <c r="U97" s="1">
        <v>122</v>
      </c>
    </row>
    <row r="98" spans="1:21" x14ac:dyDescent="0.2">
      <c r="A98" s="1" t="s">
        <v>131</v>
      </c>
      <c r="B98" s="1" t="s">
        <v>130</v>
      </c>
      <c r="C98" s="2">
        <v>2.5955469999999998</v>
      </c>
      <c r="D98" s="2">
        <v>2.384544</v>
      </c>
      <c r="E98" s="2">
        <v>2.8065509999999998</v>
      </c>
      <c r="F98" s="1">
        <v>95</v>
      </c>
      <c r="G98" s="1">
        <v>73</v>
      </c>
      <c r="H98" s="1">
        <v>129</v>
      </c>
      <c r="I98" s="2">
        <f>(C98-1)*100/($C$4-1)</f>
        <v>49.838354192670543</v>
      </c>
      <c r="J98" s="2">
        <v>2.459686</v>
      </c>
      <c r="K98" s="1">
        <v>90</v>
      </c>
      <c r="L98" s="2">
        <v>2.5724800000000001</v>
      </c>
      <c r="M98" s="1">
        <v>76</v>
      </c>
      <c r="N98" s="2">
        <v>2.8727279999999999</v>
      </c>
      <c r="O98" s="1">
        <v>63</v>
      </c>
      <c r="P98" s="2">
        <v>2.5969359999999999</v>
      </c>
      <c r="Q98" s="1">
        <v>87</v>
      </c>
      <c r="R98" s="2">
        <v>2.4713780000000001</v>
      </c>
      <c r="S98" s="1">
        <v>118</v>
      </c>
      <c r="T98" s="2">
        <v>2.5655420000000002</v>
      </c>
      <c r="U98" s="1">
        <v>142</v>
      </c>
    </row>
    <row r="99" spans="1:21" x14ac:dyDescent="0.2">
      <c r="A99" s="1" t="s">
        <v>129</v>
      </c>
      <c r="B99" s="1" t="s">
        <v>128</v>
      </c>
      <c r="C99" s="2">
        <v>2.590265</v>
      </c>
      <c r="D99" s="2">
        <v>2.3008109999999999</v>
      </c>
      <c r="E99" s="2">
        <v>2.8797190000000001</v>
      </c>
      <c r="F99" s="1">
        <v>96</v>
      </c>
      <c r="G99" s="1">
        <v>63</v>
      </c>
      <c r="H99" s="1">
        <v>136</v>
      </c>
      <c r="I99" s="2">
        <f>(C99-1)*100/($C$4-1)</f>
        <v>49.67336614352773</v>
      </c>
      <c r="J99" s="2">
        <v>2.1538460000000001</v>
      </c>
      <c r="K99" s="1">
        <v>133</v>
      </c>
      <c r="L99" s="2">
        <v>2.3025389999999999</v>
      </c>
      <c r="M99" s="1">
        <v>109</v>
      </c>
      <c r="N99" s="2">
        <v>2.7025389999999998</v>
      </c>
      <c r="O99" s="1">
        <v>88</v>
      </c>
      <c r="P99" s="2">
        <v>2.4504929999999998</v>
      </c>
      <c r="Q99" s="1">
        <v>107</v>
      </c>
      <c r="R99" s="2">
        <v>3.0770219999999999</v>
      </c>
      <c r="S99" s="1">
        <v>54</v>
      </c>
      <c r="T99" s="2">
        <v>2.8270219999999999</v>
      </c>
      <c r="U99" s="1">
        <v>119</v>
      </c>
    </row>
    <row r="100" spans="1:21" x14ac:dyDescent="0.2">
      <c r="A100" s="1" t="s">
        <v>127</v>
      </c>
      <c r="B100" s="1" t="s">
        <v>126</v>
      </c>
      <c r="C100" s="2">
        <v>2.585645</v>
      </c>
      <c r="D100" s="2">
        <v>2.2802560000000001</v>
      </c>
      <c r="E100" s="2">
        <v>2.8910339999999999</v>
      </c>
      <c r="F100" s="1">
        <v>97</v>
      </c>
      <c r="G100" s="1">
        <v>61</v>
      </c>
      <c r="H100" s="1">
        <v>138</v>
      </c>
      <c r="I100" s="2">
        <f>(C100-1)*100/($C$4-1)</f>
        <v>49.529056263361156</v>
      </c>
      <c r="J100" s="2">
        <v>2.425926</v>
      </c>
      <c r="K100" s="1">
        <v>94</v>
      </c>
      <c r="L100" s="2">
        <v>2.175926</v>
      </c>
      <c r="M100" s="1">
        <v>126</v>
      </c>
      <c r="N100" s="2">
        <v>2.550926</v>
      </c>
      <c r="O100" s="1">
        <v>105</v>
      </c>
      <c r="P100" s="2">
        <v>2.675926</v>
      </c>
      <c r="Q100" s="1">
        <v>82</v>
      </c>
      <c r="R100" s="2">
        <v>2.6666669999999999</v>
      </c>
      <c r="S100" s="1">
        <v>94</v>
      </c>
      <c r="T100" s="2">
        <v>2.9750000000000001</v>
      </c>
      <c r="U100" s="1">
        <v>102</v>
      </c>
    </row>
    <row r="101" spans="1:21" x14ac:dyDescent="0.2">
      <c r="A101" s="1" t="s">
        <v>125</v>
      </c>
      <c r="B101" s="1" t="s">
        <v>124</v>
      </c>
      <c r="C101" s="2">
        <v>2.578608</v>
      </c>
      <c r="D101" s="2">
        <v>2.375486</v>
      </c>
      <c r="E101" s="2">
        <v>2.7817289999999999</v>
      </c>
      <c r="F101" s="1">
        <v>98</v>
      </c>
      <c r="G101" s="1">
        <v>75</v>
      </c>
      <c r="H101" s="1">
        <v>129</v>
      </c>
      <c r="I101" s="2">
        <f>(C101-1)*100/($C$4-1)</f>
        <v>49.309249201297909</v>
      </c>
      <c r="J101" s="2">
        <v>2.3697439999999999</v>
      </c>
      <c r="K101" s="1">
        <v>109</v>
      </c>
      <c r="L101" s="2">
        <v>2.1445460000000001</v>
      </c>
      <c r="M101" s="1">
        <v>130</v>
      </c>
      <c r="N101" s="2">
        <v>2.7939630000000002</v>
      </c>
      <c r="O101" s="1">
        <v>71</v>
      </c>
      <c r="P101" s="2">
        <v>2.408093</v>
      </c>
      <c r="Q101" s="1">
        <v>111</v>
      </c>
      <c r="R101" s="2">
        <v>2.5150130000000002</v>
      </c>
      <c r="S101" s="1">
        <v>111</v>
      </c>
      <c r="T101" s="2">
        <v>3.1553460000000002</v>
      </c>
      <c r="U101" s="1">
        <v>84</v>
      </c>
    </row>
    <row r="102" spans="1:21" x14ac:dyDescent="0.2">
      <c r="A102" s="1" t="s">
        <v>123</v>
      </c>
      <c r="B102" s="1" t="s">
        <v>122</v>
      </c>
      <c r="C102" s="2">
        <v>2.5772560000000002</v>
      </c>
      <c r="D102" s="2">
        <v>2.3804180000000001</v>
      </c>
      <c r="E102" s="2">
        <v>2.7740939999999998</v>
      </c>
      <c r="F102" s="1">
        <v>99</v>
      </c>
      <c r="G102" s="1">
        <v>75</v>
      </c>
      <c r="H102" s="1">
        <v>129</v>
      </c>
      <c r="I102" s="2">
        <f>(C102-1)*100/($C$4-1)</f>
        <v>49.26701825801107</v>
      </c>
      <c r="J102" s="2">
        <v>2.1033330000000001</v>
      </c>
      <c r="K102" s="1">
        <v>140</v>
      </c>
      <c r="L102" s="2">
        <v>2.57</v>
      </c>
      <c r="M102" s="1">
        <v>77</v>
      </c>
      <c r="N102" s="2">
        <v>2.423333</v>
      </c>
      <c r="O102" s="1">
        <v>120</v>
      </c>
      <c r="P102" s="2">
        <v>2.5877140000000001</v>
      </c>
      <c r="Q102" s="1">
        <v>88</v>
      </c>
      <c r="R102" s="2">
        <v>2.7090480000000001</v>
      </c>
      <c r="S102" s="1">
        <v>90</v>
      </c>
      <c r="T102" s="2">
        <v>3.09</v>
      </c>
      <c r="U102" s="1">
        <v>91</v>
      </c>
    </row>
    <row r="103" spans="1:21" x14ac:dyDescent="0.2">
      <c r="A103" s="1" t="s">
        <v>121</v>
      </c>
      <c r="B103" s="1" t="s">
        <v>120</v>
      </c>
      <c r="C103" s="2">
        <v>2.576581</v>
      </c>
      <c r="D103" s="2">
        <v>2.335623</v>
      </c>
      <c r="E103" s="2">
        <v>2.8175379999999999</v>
      </c>
      <c r="F103" s="1">
        <v>100</v>
      </c>
      <c r="G103" s="1">
        <v>68</v>
      </c>
      <c r="H103" s="1">
        <v>134</v>
      </c>
      <c r="I103" s="2">
        <f>(C103-1)*100/($C$4-1)</f>
        <v>49.245934022272444</v>
      </c>
      <c r="J103" s="2">
        <v>2.2999999999999998</v>
      </c>
      <c r="K103" s="1">
        <v>121</v>
      </c>
      <c r="L103" s="2">
        <v>2.3886799999999999</v>
      </c>
      <c r="M103" s="1">
        <v>100</v>
      </c>
      <c r="N103" s="2">
        <v>2.5627779999999998</v>
      </c>
      <c r="O103" s="1">
        <v>104</v>
      </c>
      <c r="P103" s="2">
        <v>2.483444</v>
      </c>
      <c r="Q103" s="1">
        <v>102</v>
      </c>
      <c r="R103" s="2">
        <v>2.7850000000000001</v>
      </c>
      <c r="S103" s="1">
        <v>79</v>
      </c>
      <c r="T103" s="2">
        <v>2.9236810000000002</v>
      </c>
      <c r="U103" s="1">
        <v>107</v>
      </c>
    </row>
    <row r="104" spans="1:21" x14ac:dyDescent="0.2">
      <c r="A104" s="1" t="s">
        <v>119</v>
      </c>
      <c r="B104" s="1" t="s">
        <v>118</v>
      </c>
      <c r="C104" s="2">
        <v>2.5755210000000002</v>
      </c>
      <c r="D104" s="2">
        <v>2.4471980000000002</v>
      </c>
      <c r="E104" s="2">
        <v>2.7038449999999998</v>
      </c>
      <c r="F104" s="1">
        <v>101</v>
      </c>
      <c r="G104" s="1">
        <v>82</v>
      </c>
      <c r="H104" s="1">
        <v>118</v>
      </c>
      <c r="I104" s="2">
        <f>(C104-1)*100/($C$4-1)</f>
        <v>49.212823963186615</v>
      </c>
      <c r="J104" s="2">
        <v>2.3011360000000001</v>
      </c>
      <c r="K104" s="1">
        <v>120</v>
      </c>
      <c r="L104" s="2">
        <v>2.249457</v>
      </c>
      <c r="M104" s="1">
        <v>114</v>
      </c>
      <c r="N104" s="2">
        <v>2.7106750000000002</v>
      </c>
      <c r="O104" s="1">
        <v>86</v>
      </c>
      <c r="P104" s="2">
        <v>2.5608680000000001</v>
      </c>
      <c r="Q104" s="1">
        <v>91</v>
      </c>
      <c r="R104" s="2">
        <v>2.4716749999999998</v>
      </c>
      <c r="S104" s="1">
        <v>117</v>
      </c>
      <c r="T104" s="2">
        <v>3.0986850000000001</v>
      </c>
      <c r="U104" s="1">
        <v>90</v>
      </c>
    </row>
    <row r="105" spans="1:21" x14ac:dyDescent="0.2">
      <c r="A105" s="1" t="s">
        <v>117</v>
      </c>
      <c r="B105" s="1" t="s">
        <v>116</v>
      </c>
      <c r="C105" s="2">
        <v>2.5754049999999999</v>
      </c>
      <c r="D105" s="2">
        <v>2.3426550000000002</v>
      </c>
      <c r="E105" s="2">
        <v>2.8081559999999999</v>
      </c>
      <c r="F105" s="1">
        <v>102</v>
      </c>
      <c r="G105" s="1">
        <v>73</v>
      </c>
      <c r="H105" s="1">
        <v>133</v>
      </c>
      <c r="I105" s="2">
        <f>(C105-1)*100/($C$4-1)</f>
        <v>49.209200598230048</v>
      </c>
      <c r="J105" s="2">
        <v>2.6105580000000002</v>
      </c>
      <c r="K105" s="1">
        <v>76</v>
      </c>
      <c r="L105" s="2">
        <v>2.1939929999999999</v>
      </c>
      <c r="M105" s="1">
        <v>124</v>
      </c>
      <c r="N105" s="2">
        <v>2.7608929999999998</v>
      </c>
      <c r="O105" s="1">
        <v>78</v>
      </c>
      <c r="P105" s="2">
        <v>2.4963669999999998</v>
      </c>
      <c r="Q105" s="1">
        <v>99</v>
      </c>
      <c r="R105" s="2">
        <v>2.414145</v>
      </c>
      <c r="S105" s="1">
        <v>123</v>
      </c>
      <c r="T105" s="2">
        <v>2.8992170000000002</v>
      </c>
      <c r="U105" s="1">
        <v>110</v>
      </c>
    </row>
    <row r="106" spans="1:21" x14ac:dyDescent="0.2">
      <c r="A106" s="1" t="s">
        <v>115</v>
      </c>
      <c r="B106" s="1" t="s">
        <v>114</v>
      </c>
      <c r="C106" s="2">
        <v>2.5746329999999999</v>
      </c>
      <c r="D106" s="2">
        <v>2.4113419999999999</v>
      </c>
      <c r="E106" s="2">
        <v>2.737924</v>
      </c>
      <c r="F106" s="1">
        <v>103</v>
      </c>
      <c r="G106" s="1">
        <v>78</v>
      </c>
      <c r="H106" s="1">
        <v>125</v>
      </c>
      <c r="I106" s="2">
        <f>(C106-1)*100/($C$4-1)</f>
        <v>49.185086479726017</v>
      </c>
      <c r="J106" s="2">
        <v>2.3499620000000001</v>
      </c>
      <c r="K106" s="1">
        <v>112</v>
      </c>
      <c r="L106" s="2">
        <v>2.4405389999999998</v>
      </c>
      <c r="M106" s="1">
        <v>92</v>
      </c>
      <c r="N106" s="2">
        <v>2.309091</v>
      </c>
      <c r="O106" s="1">
        <v>134</v>
      </c>
      <c r="P106" s="2">
        <v>2.6417310000000001</v>
      </c>
      <c r="Q106" s="1">
        <v>85</v>
      </c>
      <c r="R106" s="2">
        <v>2.5364680000000002</v>
      </c>
      <c r="S106" s="1">
        <v>109</v>
      </c>
      <c r="T106" s="2">
        <v>3.1769409999999998</v>
      </c>
      <c r="U106" s="1">
        <v>78</v>
      </c>
    </row>
    <row r="107" spans="1:21" x14ac:dyDescent="0.2">
      <c r="A107" s="1" t="s">
        <v>113</v>
      </c>
      <c r="B107" s="1" t="s">
        <v>112</v>
      </c>
      <c r="C107" s="2">
        <v>2.57124</v>
      </c>
      <c r="D107" s="2">
        <v>2.2291219999999998</v>
      </c>
      <c r="E107" s="2">
        <v>2.913357</v>
      </c>
      <c r="F107" s="1">
        <v>104</v>
      </c>
      <c r="G107" s="1">
        <v>60</v>
      </c>
      <c r="H107" s="1">
        <v>143</v>
      </c>
      <c r="I107" s="2">
        <f>(C107-1)*100/($C$4-1)</f>
        <v>49.07910305474654</v>
      </c>
      <c r="J107" s="2">
        <v>2.7739720000000001</v>
      </c>
      <c r="K107" s="1">
        <v>52</v>
      </c>
      <c r="L107" s="2">
        <v>2.2065109999999999</v>
      </c>
      <c r="M107" s="1">
        <v>120</v>
      </c>
      <c r="N107" s="2">
        <v>2.2048700000000001</v>
      </c>
      <c r="O107" s="1">
        <v>142</v>
      </c>
      <c r="P107" s="2">
        <v>2.7334420000000001</v>
      </c>
      <c r="Q107" s="1">
        <v>73</v>
      </c>
      <c r="R107" s="2">
        <v>2.3731599999999999</v>
      </c>
      <c r="S107" s="1">
        <v>126</v>
      </c>
      <c r="T107" s="2">
        <v>3.1166670000000001</v>
      </c>
      <c r="U107" s="1">
        <v>87</v>
      </c>
    </row>
    <row r="108" spans="1:21" x14ac:dyDescent="0.2">
      <c r="A108" s="1" t="s">
        <v>111</v>
      </c>
      <c r="B108" s="1" t="s">
        <v>110</v>
      </c>
      <c r="C108" s="2">
        <v>2.569547</v>
      </c>
      <c r="D108" s="2">
        <v>2.3757739999999998</v>
      </c>
      <c r="E108" s="2">
        <v>2.7633209999999999</v>
      </c>
      <c r="F108" s="1">
        <v>105</v>
      </c>
      <c r="G108" s="1">
        <v>75</v>
      </c>
      <c r="H108" s="1">
        <v>129</v>
      </c>
      <c r="I108" s="2">
        <f>(C108-1)*100/($C$4-1)</f>
        <v>49.026220667923596</v>
      </c>
      <c r="J108" s="2">
        <v>2.375</v>
      </c>
      <c r="K108" s="1">
        <v>107</v>
      </c>
      <c r="L108" s="2">
        <v>2.097569</v>
      </c>
      <c r="M108" s="1">
        <v>133</v>
      </c>
      <c r="N108" s="2">
        <v>2.4975700000000001</v>
      </c>
      <c r="O108" s="1">
        <v>115</v>
      </c>
      <c r="P108" s="2">
        <v>2.2975699999999999</v>
      </c>
      <c r="Q108" s="1">
        <v>123</v>
      </c>
      <c r="R108" s="2">
        <v>2.8645830000000001</v>
      </c>
      <c r="S108" s="1">
        <v>71</v>
      </c>
      <c r="T108" s="2">
        <v>3.2360419999999999</v>
      </c>
      <c r="U108" s="1">
        <v>70</v>
      </c>
    </row>
    <row r="109" spans="1:21" x14ac:dyDescent="0.2">
      <c r="A109" s="1" t="s">
        <v>109</v>
      </c>
      <c r="B109" s="1" t="s">
        <v>108</v>
      </c>
      <c r="C109" s="2">
        <v>2.5653480000000002</v>
      </c>
      <c r="D109" s="2">
        <v>2.2855940000000001</v>
      </c>
      <c r="E109" s="2">
        <v>2.8451019999999998</v>
      </c>
      <c r="F109" s="1">
        <v>106</v>
      </c>
      <c r="G109" s="1">
        <v>65</v>
      </c>
      <c r="H109" s="1">
        <v>138</v>
      </c>
      <c r="I109" s="2">
        <f>(C109-1)*100/($C$4-1)</f>
        <v>48.895061103676966</v>
      </c>
      <c r="J109" s="2">
        <v>2.4522140000000001</v>
      </c>
      <c r="K109" s="1">
        <v>92</v>
      </c>
      <c r="L109" s="2">
        <v>2.4428899999999998</v>
      </c>
      <c r="M109" s="1">
        <v>90</v>
      </c>
      <c r="N109" s="2">
        <v>2.5337990000000001</v>
      </c>
      <c r="O109" s="1">
        <v>109</v>
      </c>
      <c r="P109" s="2">
        <v>2.5066039999999998</v>
      </c>
      <c r="Q109" s="1">
        <v>95</v>
      </c>
      <c r="R109" s="2">
        <v>2.5709399999999998</v>
      </c>
      <c r="S109" s="1">
        <v>106</v>
      </c>
      <c r="T109" s="2">
        <v>2.87094</v>
      </c>
      <c r="U109" s="1">
        <v>115</v>
      </c>
    </row>
    <row r="110" spans="1:21" x14ac:dyDescent="0.2">
      <c r="A110" s="1" t="s">
        <v>107</v>
      </c>
      <c r="B110" s="1" t="s">
        <v>106</v>
      </c>
      <c r="C110" s="2">
        <v>2.5570979999999999</v>
      </c>
      <c r="D110" s="2">
        <v>2.2017899999999999</v>
      </c>
      <c r="E110" s="2">
        <v>2.9124050000000001</v>
      </c>
      <c r="F110" s="1">
        <v>107</v>
      </c>
      <c r="G110" s="1">
        <v>60</v>
      </c>
      <c r="H110" s="1">
        <v>144</v>
      </c>
      <c r="I110" s="2">
        <f>(C110-1)*100/($C$4-1)</f>
        <v>48.637364889093782</v>
      </c>
      <c r="J110" s="2">
        <v>2.625</v>
      </c>
      <c r="K110" s="1">
        <v>72</v>
      </c>
      <c r="L110" s="2">
        <v>2.25</v>
      </c>
      <c r="M110" s="1">
        <v>113</v>
      </c>
      <c r="N110" s="2">
        <v>2.4949780000000001</v>
      </c>
      <c r="O110" s="1">
        <v>116</v>
      </c>
      <c r="P110" s="2">
        <v>2.2135419999999999</v>
      </c>
      <c r="Q110" s="1">
        <v>138</v>
      </c>
      <c r="R110" s="2">
        <v>2.9278270000000002</v>
      </c>
      <c r="S110" s="1">
        <v>68</v>
      </c>
      <c r="T110" s="2">
        <v>2.8045019999999998</v>
      </c>
      <c r="U110" s="1">
        <v>120</v>
      </c>
    </row>
    <row r="111" spans="1:21" x14ac:dyDescent="0.2">
      <c r="A111" s="1" t="s">
        <v>105</v>
      </c>
      <c r="B111" s="1" t="s">
        <v>104</v>
      </c>
      <c r="C111" s="2">
        <v>2.54609</v>
      </c>
      <c r="D111" s="2">
        <v>2.2872539999999999</v>
      </c>
      <c r="E111" s="2">
        <v>2.8049270000000002</v>
      </c>
      <c r="F111" s="1">
        <v>108</v>
      </c>
      <c r="G111" s="1">
        <v>73</v>
      </c>
      <c r="H111" s="1">
        <v>138</v>
      </c>
      <c r="I111" s="2">
        <f>(C111-1)*100/($C$4-1)</f>
        <v>48.293520049077848</v>
      </c>
      <c r="J111" s="2">
        <v>2.75</v>
      </c>
      <c r="K111" s="1">
        <v>55</v>
      </c>
      <c r="L111" s="2">
        <v>2.375</v>
      </c>
      <c r="M111" s="1">
        <v>103</v>
      </c>
      <c r="N111" s="2">
        <v>2.2154020000000001</v>
      </c>
      <c r="O111" s="1">
        <v>138</v>
      </c>
      <c r="P111" s="2">
        <v>2.3582589999999999</v>
      </c>
      <c r="Q111" s="1">
        <v>114</v>
      </c>
      <c r="R111" s="2">
        <v>2.6439729999999999</v>
      </c>
      <c r="S111" s="1">
        <v>99</v>
      </c>
      <c r="T111" s="2">
        <v>2.9408479999999999</v>
      </c>
      <c r="U111" s="1">
        <v>106</v>
      </c>
    </row>
    <row r="112" spans="1:21" x14ac:dyDescent="0.2">
      <c r="A112" s="1" t="s">
        <v>103</v>
      </c>
      <c r="B112" s="1" t="s">
        <v>102</v>
      </c>
      <c r="C112" s="2">
        <v>2.5396610000000002</v>
      </c>
      <c r="D112" s="2">
        <v>2.3514840000000001</v>
      </c>
      <c r="E112" s="2">
        <v>2.7278370000000001</v>
      </c>
      <c r="F112" s="1">
        <v>109</v>
      </c>
      <c r="G112" s="1">
        <v>79</v>
      </c>
      <c r="H112" s="1">
        <v>133</v>
      </c>
      <c r="I112" s="2">
        <f>(C112-1)*100/($C$4-1)</f>
        <v>48.09270441713177</v>
      </c>
      <c r="J112" s="2">
        <v>2.3281040000000002</v>
      </c>
      <c r="K112" s="1">
        <v>115</v>
      </c>
      <c r="L112" s="2">
        <v>2.4346030000000001</v>
      </c>
      <c r="M112" s="1">
        <v>93</v>
      </c>
      <c r="N112" s="2">
        <v>2.5752109999999999</v>
      </c>
      <c r="O112" s="1">
        <v>103</v>
      </c>
      <c r="P112" s="2">
        <v>2.489252</v>
      </c>
      <c r="Q112" s="1">
        <v>101</v>
      </c>
      <c r="R112" s="2">
        <v>2.5127090000000001</v>
      </c>
      <c r="S112" s="1">
        <v>112</v>
      </c>
      <c r="T112" s="2">
        <v>2.878139</v>
      </c>
      <c r="U112" s="1">
        <v>114</v>
      </c>
    </row>
    <row r="113" spans="1:21" x14ac:dyDescent="0.2">
      <c r="A113" s="1" t="s">
        <v>101</v>
      </c>
      <c r="B113" s="1" t="s">
        <v>100</v>
      </c>
      <c r="C113" s="2">
        <v>2.5320849999999999</v>
      </c>
      <c r="D113" s="2">
        <v>2.205165</v>
      </c>
      <c r="E113" s="2">
        <v>2.8590059999999999</v>
      </c>
      <c r="F113" s="1">
        <v>110</v>
      </c>
      <c r="G113" s="1">
        <v>64</v>
      </c>
      <c r="H113" s="1">
        <v>144</v>
      </c>
      <c r="I113" s="2">
        <f>(C113-1)*100/($C$4-1)</f>
        <v>47.856061202382413</v>
      </c>
      <c r="J113" s="2">
        <v>1.9666669999999999</v>
      </c>
      <c r="K113" s="1">
        <v>147</v>
      </c>
      <c r="L113" s="2">
        <v>2.5597219999999998</v>
      </c>
      <c r="M113" s="1">
        <v>78</v>
      </c>
      <c r="N113" s="2">
        <v>2.5222220000000002</v>
      </c>
      <c r="O113" s="1">
        <v>110</v>
      </c>
      <c r="P113" s="2">
        <v>2.3986109999999998</v>
      </c>
      <c r="Q113" s="1">
        <v>112</v>
      </c>
      <c r="R113" s="2">
        <v>2.6847219999999998</v>
      </c>
      <c r="S113" s="1">
        <v>92</v>
      </c>
      <c r="T113" s="2">
        <v>3.068333</v>
      </c>
      <c r="U113" s="1">
        <v>92</v>
      </c>
    </row>
    <row r="114" spans="1:21" x14ac:dyDescent="0.2">
      <c r="A114" s="1" t="s">
        <v>99</v>
      </c>
      <c r="B114" s="1" t="s">
        <v>98</v>
      </c>
      <c r="C114" s="2">
        <v>2.526313</v>
      </c>
      <c r="D114" s="2">
        <v>2.3619029999999999</v>
      </c>
      <c r="E114" s="2">
        <v>2.6907220000000001</v>
      </c>
      <c r="F114" s="1">
        <v>111</v>
      </c>
      <c r="G114" s="1">
        <v>84</v>
      </c>
      <c r="H114" s="1">
        <v>130</v>
      </c>
      <c r="I114" s="2">
        <f>(C114-1)*100/($C$4-1)</f>
        <v>47.675767559888598</v>
      </c>
      <c r="J114" s="2">
        <v>2.180161</v>
      </c>
      <c r="K114" s="1">
        <v>129</v>
      </c>
      <c r="L114" s="2">
        <v>2.3034309999999998</v>
      </c>
      <c r="M114" s="1">
        <v>108</v>
      </c>
      <c r="N114" s="2">
        <v>3.0528189999999999</v>
      </c>
      <c r="O114" s="1">
        <v>54</v>
      </c>
      <c r="P114" s="2">
        <v>2.4813900000000002</v>
      </c>
      <c r="Q114" s="1">
        <v>103</v>
      </c>
      <c r="R114" s="2">
        <v>1.98139</v>
      </c>
      <c r="S114" s="1">
        <v>158</v>
      </c>
      <c r="T114" s="2">
        <v>3.0528189999999999</v>
      </c>
      <c r="U114" s="1">
        <v>94</v>
      </c>
    </row>
    <row r="115" spans="1:21" x14ac:dyDescent="0.2">
      <c r="A115" s="1" t="s">
        <v>97</v>
      </c>
      <c r="B115" s="1" t="s">
        <v>96</v>
      </c>
      <c r="C115" s="2">
        <v>2.5254120000000002</v>
      </c>
      <c r="D115" s="2">
        <v>2.3654419999999998</v>
      </c>
      <c r="E115" s="2">
        <v>2.685381</v>
      </c>
      <c r="F115" s="1">
        <v>112</v>
      </c>
      <c r="G115" s="1">
        <v>85</v>
      </c>
      <c r="H115" s="1">
        <v>130</v>
      </c>
      <c r="I115" s="2">
        <f>(C115-1)*100/($C$4-1)</f>
        <v>47.647624009665641</v>
      </c>
      <c r="J115" s="2">
        <v>2.6842109999999999</v>
      </c>
      <c r="K115" s="1">
        <v>61</v>
      </c>
      <c r="L115" s="2">
        <v>2.408433</v>
      </c>
      <c r="M115" s="1">
        <v>98</v>
      </c>
      <c r="N115" s="2">
        <v>2.5014500000000002</v>
      </c>
      <c r="O115" s="1">
        <v>114</v>
      </c>
      <c r="P115" s="2">
        <v>2.267881</v>
      </c>
      <c r="Q115" s="1">
        <v>130</v>
      </c>
      <c r="R115" s="2">
        <v>2.517881</v>
      </c>
      <c r="S115" s="1">
        <v>110</v>
      </c>
      <c r="T115" s="2">
        <v>2.7511190000000001</v>
      </c>
      <c r="U115" s="1">
        <v>125</v>
      </c>
    </row>
    <row r="116" spans="1:21" x14ac:dyDescent="0.2">
      <c r="A116" s="1" t="s">
        <v>95</v>
      </c>
      <c r="B116" s="1" t="s">
        <v>94</v>
      </c>
      <c r="C116" s="2">
        <v>2.5186639999999998</v>
      </c>
      <c r="D116" s="2">
        <v>2.3203100000000001</v>
      </c>
      <c r="E116" s="2">
        <v>2.7170169999999998</v>
      </c>
      <c r="F116" s="1">
        <v>113</v>
      </c>
      <c r="G116" s="1">
        <v>79</v>
      </c>
      <c r="H116" s="1">
        <v>135</v>
      </c>
      <c r="I116" s="2">
        <f>(C116-1)*100/($C$4-1)</f>
        <v>47.436844124088992</v>
      </c>
      <c r="J116" s="2">
        <v>2.4156849999999999</v>
      </c>
      <c r="K116" s="1">
        <v>99</v>
      </c>
      <c r="L116" s="2">
        <v>2.3243619999999998</v>
      </c>
      <c r="M116" s="1">
        <v>107</v>
      </c>
      <c r="N116" s="2">
        <v>2.5342709999999999</v>
      </c>
      <c r="O116" s="1">
        <v>107</v>
      </c>
      <c r="P116" s="2">
        <v>2.536251</v>
      </c>
      <c r="Q116" s="1">
        <v>94</v>
      </c>
      <c r="R116" s="2">
        <v>2.4806949999999999</v>
      </c>
      <c r="S116" s="1">
        <v>116</v>
      </c>
      <c r="T116" s="2">
        <v>2.7925599999999999</v>
      </c>
      <c r="U116" s="1">
        <v>121</v>
      </c>
    </row>
    <row r="117" spans="1:21" x14ac:dyDescent="0.2">
      <c r="A117" s="1" t="s">
        <v>93</v>
      </c>
      <c r="B117" s="1" t="s">
        <v>92</v>
      </c>
      <c r="C117" s="2">
        <v>2.5130219999999999</v>
      </c>
      <c r="D117" s="2">
        <v>2.2793570000000001</v>
      </c>
      <c r="E117" s="2">
        <v>2.7466879999999998</v>
      </c>
      <c r="F117" s="1">
        <v>114</v>
      </c>
      <c r="G117" s="1">
        <v>77</v>
      </c>
      <c r="H117" s="1">
        <v>138</v>
      </c>
      <c r="I117" s="2">
        <f>(C117-1)*100/($C$4-1)</f>
        <v>47.26061114921891</v>
      </c>
      <c r="J117" s="2">
        <v>2.2898350000000001</v>
      </c>
      <c r="K117" s="1">
        <v>122</v>
      </c>
      <c r="L117" s="2">
        <v>2.1941389999999998</v>
      </c>
      <c r="M117" s="1">
        <v>123</v>
      </c>
      <c r="N117" s="2">
        <v>2.3608060000000002</v>
      </c>
      <c r="O117" s="1">
        <v>129</v>
      </c>
      <c r="P117" s="2">
        <v>2.4641609999999998</v>
      </c>
      <c r="Q117" s="1">
        <v>105</v>
      </c>
      <c r="R117" s="2">
        <v>2.6459790000000001</v>
      </c>
      <c r="S117" s="1">
        <v>98</v>
      </c>
      <c r="T117" s="2">
        <v>3.1005240000000001</v>
      </c>
      <c r="U117" s="1">
        <v>89</v>
      </c>
    </row>
    <row r="118" spans="1:21" x14ac:dyDescent="0.2">
      <c r="A118" s="1" t="s">
        <v>91</v>
      </c>
      <c r="B118" s="1" t="s">
        <v>90</v>
      </c>
      <c r="C118" s="2">
        <v>2.4858579999999999</v>
      </c>
      <c r="D118" s="2">
        <v>2.123704</v>
      </c>
      <c r="E118" s="2">
        <v>2.8480129999999999</v>
      </c>
      <c r="F118" s="1">
        <v>115</v>
      </c>
      <c r="G118" s="1">
        <v>65</v>
      </c>
      <c r="H118" s="1">
        <v>151</v>
      </c>
      <c r="I118" s="2">
        <f>(C118-1)*100/($C$4-1)</f>
        <v>46.412119031287119</v>
      </c>
      <c r="J118" s="2">
        <v>2.2727270000000002</v>
      </c>
      <c r="K118" s="1">
        <v>123</v>
      </c>
      <c r="L118" s="2">
        <v>2.0661160000000001</v>
      </c>
      <c r="M118" s="1">
        <v>138</v>
      </c>
      <c r="N118" s="2">
        <v>2.8661159999999999</v>
      </c>
      <c r="O118" s="1">
        <v>64</v>
      </c>
      <c r="P118" s="2">
        <v>2.2814049999999999</v>
      </c>
      <c r="Q118" s="1">
        <v>127</v>
      </c>
      <c r="R118" s="2">
        <v>2.3779659999999998</v>
      </c>
      <c r="S118" s="1">
        <v>125</v>
      </c>
      <c r="T118" s="2">
        <v>2.949395</v>
      </c>
      <c r="U118" s="1">
        <v>103</v>
      </c>
    </row>
    <row r="119" spans="1:21" x14ac:dyDescent="0.2">
      <c r="A119" s="1" t="s">
        <v>89</v>
      </c>
      <c r="B119" s="1" t="s">
        <v>88</v>
      </c>
      <c r="C119" s="2">
        <v>2.455908</v>
      </c>
      <c r="D119" s="2">
        <v>2.2962920000000002</v>
      </c>
      <c r="E119" s="2">
        <v>2.6155240000000002</v>
      </c>
      <c r="F119" s="1">
        <v>116</v>
      </c>
      <c r="G119" s="1">
        <v>92</v>
      </c>
      <c r="H119" s="1">
        <v>137</v>
      </c>
      <c r="I119" s="2">
        <f>(C119-1)*100/($C$4-1)</f>
        <v>45.476603682588227</v>
      </c>
      <c r="J119" s="2">
        <v>2.253755</v>
      </c>
      <c r="K119" s="1">
        <v>124</v>
      </c>
      <c r="L119" s="2">
        <v>2.0199379999999998</v>
      </c>
      <c r="M119" s="1">
        <v>141</v>
      </c>
      <c r="N119" s="2">
        <v>2.6932580000000002</v>
      </c>
      <c r="O119" s="1">
        <v>90</v>
      </c>
      <c r="P119" s="2">
        <v>2.299887</v>
      </c>
      <c r="Q119" s="1">
        <v>122</v>
      </c>
      <c r="R119" s="2">
        <v>2.2057639999999998</v>
      </c>
      <c r="S119" s="1">
        <v>142</v>
      </c>
      <c r="T119" s="2">
        <v>3.1668189999999998</v>
      </c>
      <c r="U119" s="1">
        <v>82</v>
      </c>
    </row>
    <row r="120" spans="1:21" x14ac:dyDescent="0.2">
      <c r="A120" s="1" t="s">
        <v>87</v>
      </c>
      <c r="B120" s="1" t="s">
        <v>86</v>
      </c>
      <c r="C120" s="2">
        <v>2.4480710000000001</v>
      </c>
      <c r="D120" s="2">
        <v>2.2097829999999998</v>
      </c>
      <c r="E120" s="2">
        <v>2.6863600000000001</v>
      </c>
      <c r="F120" s="1">
        <v>117</v>
      </c>
      <c r="G120" s="1">
        <v>85</v>
      </c>
      <c r="H120" s="1">
        <v>143</v>
      </c>
      <c r="I120" s="2">
        <f>(C120-1)*100/($C$4-1)</f>
        <v>45.231807896686618</v>
      </c>
      <c r="J120" s="2">
        <v>2.13028</v>
      </c>
      <c r="K120" s="1">
        <v>138</v>
      </c>
      <c r="L120" s="2">
        <v>2.4213830000000001</v>
      </c>
      <c r="M120" s="1">
        <v>96</v>
      </c>
      <c r="N120" s="2">
        <v>2.38747</v>
      </c>
      <c r="O120" s="1">
        <v>122</v>
      </c>
      <c r="P120" s="2">
        <v>2.3912469999999999</v>
      </c>
      <c r="Q120" s="1">
        <v>113</v>
      </c>
      <c r="R120" s="2">
        <v>2.6048619999999998</v>
      </c>
      <c r="S120" s="1">
        <v>103</v>
      </c>
      <c r="T120" s="2">
        <v>2.761177</v>
      </c>
      <c r="U120" s="1">
        <v>124</v>
      </c>
    </row>
    <row r="121" spans="1:21" x14ac:dyDescent="0.2">
      <c r="A121" s="1" t="s">
        <v>85</v>
      </c>
      <c r="B121" s="1" t="s">
        <v>84</v>
      </c>
      <c r="C121" s="2">
        <v>2.4474610000000001</v>
      </c>
      <c r="D121" s="2">
        <v>2.1578200000000001</v>
      </c>
      <c r="E121" s="2">
        <v>2.7371020000000001</v>
      </c>
      <c r="F121" s="1">
        <v>118</v>
      </c>
      <c r="G121" s="1">
        <v>78</v>
      </c>
      <c r="H121" s="1">
        <v>150</v>
      </c>
      <c r="I121" s="2">
        <f>(C121-1)*100/($C$4-1)</f>
        <v>45.212753994759865</v>
      </c>
      <c r="J121" s="2">
        <v>2.3143940000000001</v>
      </c>
      <c r="K121" s="1">
        <v>119</v>
      </c>
      <c r="L121" s="2">
        <v>2.23245</v>
      </c>
      <c r="M121" s="1">
        <v>116</v>
      </c>
      <c r="N121" s="2">
        <v>2.518939</v>
      </c>
      <c r="O121" s="1">
        <v>111</v>
      </c>
      <c r="P121" s="2">
        <v>2.2497189999999998</v>
      </c>
      <c r="Q121" s="1">
        <v>134</v>
      </c>
      <c r="R121" s="2">
        <v>2.4496349999999998</v>
      </c>
      <c r="S121" s="1">
        <v>120</v>
      </c>
      <c r="T121" s="2">
        <v>2.8788860000000001</v>
      </c>
      <c r="U121" s="1">
        <v>112</v>
      </c>
    </row>
    <row r="122" spans="1:21" x14ac:dyDescent="0.2">
      <c r="A122" s="1" t="s">
        <v>83</v>
      </c>
      <c r="B122" s="1" t="s">
        <v>82</v>
      </c>
      <c r="C122" s="2">
        <v>2.4428239999999999</v>
      </c>
      <c r="D122" s="2">
        <v>2.1933910000000001</v>
      </c>
      <c r="E122" s="2">
        <v>2.6922570000000001</v>
      </c>
      <c r="F122" s="1">
        <v>119</v>
      </c>
      <c r="G122" s="1">
        <v>84</v>
      </c>
      <c r="H122" s="1">
        <v>146</v>
      </c>
      <c r="I122" s="2">
        <f>(C122-1)*100/($C$4-1)</f>
        <v>45.067913104211719</v>
      </c>
      <c r="J122" s="2">
        <v>2.4236170000000001</v>
      </c>
      <c r="K122" s="1">
        <v>95</v>
      </c>
      <c r="L122" s="2">
        <v>2.3822130000000001</v>
      </c>
      <c r="M122" s="1">
        <v>102</v>
      </c>
      <c r="N122" s="2">
        <v>2.3755459999999999</v>
      </c>
      <c r="O122" s="1">
        <v>124</v>
      </c>
      <c r="P122" s="2">
        <v>2.2566799999999998</v>
      </c>
      <c r="Q122" s="1">
        <v>132</v>
      </c>
      <c r="R122" s="2">
        <v>2.2566799999999998</v>
      </c>
      <c r="S122" s="1">
        <v>139</v>
      </c>
      <c r="T122" s="2">
        <v>2.945344</v>
      </c>
      <c r="U122" s="1">
        <v>105</v>
      </c>
    </row>
    <row r="123" spans="1:21" x14ac:dyDescent="0.2">
      <c r="A123" s="1" t="s">
        <v>81</v>
      </c>
      <c r="B123" s="1" t="s">
        <v>80</v>
      </c>
      <c r="C123" s="2">
        <v>2.4283790000000001</v>
      </c>
      <c r="D123" s="2">
        <v>2.2839019999999999</v>
      </c>
      <c r="E123" s="2">
        <v>2.5728559999999998</v>
      </c>
      <c r="F123" s="1">
        <v>120</v>
      </c>
      <c r="G123" s="1">
        <v>104</v>
      </c>
      <c r="H123" s="1">
        <v>138</v>
      </c>
      <c r="I123" s="2">
        <f>(C123-1)*100/($C$4-1)</f>
        <v>44.616710459405191</v>
      </c>
      <c r="J123" s="2">
        <v>2.3699530000000002</v>
      </c>
      <c r="K123" s="1">
        <v>108</v>
      </c>
      <c r="L123" s="2">
        <v>2.1162040000000002</v>
      </c>
      <c r="M123" s="1">
        <v>132</v>
      </c>
      <c r="N123" s="2">
        <v>2.3662040000000002</v>
      </c>
      <c r="O123" s="1">
        <v>127</v>
      </c>
      <c r="P123" s="2">
        <v>2.4936630000000002</v>
      </c>
      <c r="Q123" s="1">
        <v>100</v>
      </c>
      <c r="R123" s="2">
        <v>2.5083329999999999</v>
      </c>
      <c r="S123" s="1">
        <v>114</v>
      </c>
      <c r="T123" s="2">
        <v>2.6868569999999998</v>
      </c>
      <c r="U123" s="1">
        <v>133</v>
      </c>
    </row>
    <row r="124" spans="1:21" x14ac:dyDescent="0.2">
      <c r="A124" s="1" t="s">
        <v>79</v>
      </c>
      <c r="B124" s="1" t="s">
        <v>78</v>
      </c>
      <c r="C124" s="2">
        <v>2.4275739999999999</v>
      </c>
      <c r="D124" s="2">
        <v>2.2322229999999998</v>
      </c>
      <c r="E124" s="2">
        <v>2.6229239999999998</v>
      </c>
      <c r="F124" s="1">
        <v>121</v>
      </c>
      <c r="G124" s="1">
        <v>91</v>
      </c>
      <c r="H124" s="1">
        <v>141</v>
      </c>
      <c r="I124" s="2">
        <f>(C124-1)*100/($C$4-1)</f>
        <v>44.591565556042823</v>
      </c>
      <c r="J124" s="2">
        <v>2.1355559999999998</v>
      </c>
      <c r="K124" s="1">
        <v>136</v>
      </c>
      <c r="L124" s="2">
        <v>2.1818179999999998</v>
      </c>
      <c r="M124" s="1">
        <v>125</v>
      </c>
      <c r="N124" s="2">
        <v>2.5818180000000002</v>
      </c>
      <c r="O124" s="1">
        <v>102</v>
      </c>
      <c r="P124" s="2">
        <v>2.5050500000000002</v>
      </c>
      <c r="Q124" s="1">
        <v>96</v>
      </c>
      <c r="R124" s="2">
        <v>2.5050500000000002</v>
      </c>
      <c r="S124" s="1">
        <v>115</v>
      </c>
      <c r="T124" s="2">
        <v>2.6161620000000001</v>
      </c>
      <c r="U124" s="1">
        <v>139</v>
      </c>
    </row>
    <row r="125" spans="1:21" x14ac:dyDescent="0.2">
      <c r="A125" s="1" t="s">
        <v>77</v>
      </c>
      <c r="B125" s="1" t="s">
        <v>76</v>
      </c>
      <c r="C125" s="2">
        <v>2.419197</v>
      </c>
      <c r="D125" s="2">
        <v>2.2581579999999999</v>
      </c>
      <c r="E125" s="2">
        <v>2.5802360000000002</v>
      </c>
      <c r="F125" s="1">
        <v>122</v>
      </c>
      <c r="G125" s="1">
        <v>98</v>
      </c>
      <c r="H125" s="1">
        <v>140</v>
      </c>
      <c r="I125" s="2">
        <f>(C125-1)*100/($C$4-1)</f>
        <v>44.329902381550319</v>
      </c>
      <c r="J125" s="2">
        <v>2.1220479999999999</v>
      </c>
      <c r="K125" s="1">
        <v>139</v>
      </c>
      <c r="L125" s="2">
        <v>2.1974860000000001</v>
      </c>
      <c r="M125" s="1">
        <v>121</v>
      </c>
      <c r="N125" s="2">
        <v>2.6293850000000001</v>
      </c>
      <c r="O125" s="1">
        <v>97</v>
      </c>
      <c r="P125" s="2">
        <v>2.5868799999999998</v>
      </c>
      <c r="Q125" s="1">
        <v>89</v>
      </c>
      <c r="R125" s="2">
        <v>2.2654519999999998</v>
      </c>
      <c r="S125" s="1">
        <v>136</v>
      </c>
      <c r="T125" s="2">
        <v>2.6632940000000001</v>
      </c>
      <c r="U125" s="1">
        <v>136</v>
      </c>
    </row>
    <row r="126" spans="1:21" x14ac:dyDescent="0.2">
      <c r="A126" s="1" t="s">
        <v>75</v>
      </c>
      <c r="B126" s="1" t="s">
        <v>74</v>
      </c>
      <c r="C126" s="2">
        <v>2.4174370000000001</v>
      </c>
      <c r="D126" s="2">
        <v>2.073582</v>
      </c>
      <c r="E126" s="2">
        <v>2.7612920000000001</v>
      </c>
      <c r="F126" s="1">
        <v>123</v>
      </c>
      <c r="G126" s="1">
        <v>75</v>
      </c>
      <c r="H126" s="1">
        <v>156</v>
      </c>
      <c r="I126" s="2">
        <f>(C126-1)*100/($C$4-1)</f>
        <v>44.274927189105917</v>
      </c>
      <c r="J126" s="2">
        <v>2.1538460000000001</v>
      </c>
      <c r="K126" s="1">
        <v>134</v>
      </c>
      <c r="L126" s="2">
        <v>2.3720409999999998</v>
      </c>
      <c r="M126" s="1">
        <v>104</v>
      </c>
      <c r="N126" s="2">
        <v>2.3695270000000002</v>
      </c>
      <c r="O126" s="1">
        <v>125</v>
      </c>
      <c r="P126" s="2">
        <v>2.6198229999999998</v>
      </c>
      <c r="Q126" s="1">
        <v>86</v>
      </c>
      <c r="R126" s="2">
        <v>2.3720409999999998</v>
      </c>
      <c r="S126" s="1">
        <v>127</v>
      </c>
      <c r="T126" s="2">
        <v>2.6198229999999998</v>
      </c>
      <c r="U126" s="1">
        <v>138</v>
      </c>
    </row>
    <row r="127" spans="1:21" x14ac:dyDescent="0.2">
      <c r="A127" s="1" t="s">
        <v>73</v>
      </c>
      <c r="B127" s="1" t="s">
        <v>72</v>
      </c>
      <c r="C127" s="2">
        <v>2.4156420000000001</v>
      </c>
      <c r="D127" s="2">
        <v>2.2241080000000002</v>
      </c>
      <c r="E127" s="2">
        <v>2.6071759999999999</v>
      </c>
      <c r="F127" s="1">
        <v>124</v>
      </c>
      <c r="G127" s="1">
        <v>93</v>
      </c>
      <c r="H127" s="1">
        <v>143</v>
      </c>
      <c r="I127" s="2">
        <f>(C127-1)*100/($C$4-1)</f>
        <v>44.218858739993571</v>
      </c>
      <c r="J127" s="2">
        <v>2.4231959999999999</v>
      </c>
      <c r="K127" s="1">
        <v>96</v>
      </c>
      <c r="L127" s="2">
        <v>2.382692</v>
      </c>
      <c r="M127" s="1">
        <v>101</v>
      </c>
      <c r="N127" s="2">
        <v>2.5863670000000001</v>
      </c>
      <c r="O127" s="1">
        <v>101</v>
      </c>
      <c r="P127" s="2">
        <v>2.2707510000000002</v>
      </c>
      <c r="Q127" s="1">
        <v>129</v>
      </c>
      <c r="R127" s="2">
        <v>2.2670669999999999</v>
      </c>
      <c r="S127" s="1">
        <v>135</v>
      </c>
      <c r="T127" s="2">
        <v>2.5319259999999999</v>
      </c>
      <c r="U127" s="1">
        <v>144</v>
      </c>
    </row>
    <row r="128" spans="1:21" x14ac:dyDescent="0.2">
      <c r="A128" s="1" t="s">
        <v>71</v>
      </c>
      <c r="B128" s="1" t="s">
        <v>70</v>
      </c>
      <c r="C128" s="2">
        <v>2.4146169999999998</v>
      </c>
      <c r="D128" s="2">
        <v>2.2233339999999999</v>
      </c>
      <c r="E128" s="2">
        <v>2.6059000000000001</v>
      </c>
      <c r="F128" s="1">
        <v>125</v>
      </c>
      <c r="G128" s="1">
        <v>93</v>
      </c>
      <c r="H128" s="1">
        <v>143</v>
      </c>
      <c r="I128" s="2">
        <f>(C128-1)*100/($C$4-1)</f>
        <v>44.186841937575657</v>
      </c>
      <c r="J128" s="2">
        <v>2.157708</v>
      </c>
      <c r="K128" s="1">
        <v>132</v>
      </c>
      <c r="L128" s="2">
        <v>2.1961900000000001</v>
      </c>
      <c r="M128" s="1">
        <v>122</v>
      </c>
      <c r="N128" s="2">
        <v>2.3321909999999999</v>
      </c>
      <c r="O128" s="1">
        <v>130</v>
      </c>
      <c r="P128" s="2">
        <v>2.2488570000000001</v>
      </c>
      <c r="Q128" s="1">
        <v>136</v>
      </c>
      <c r="R128" s="2">
        <v>2.415524</v>
      </c>
      <c r="S128" s="1">
        <v>122</v>
      </c>
      <c r="T128" s="2">
        <v>3.1110289999999998</v>
      </c>
      <c r="U128" s="1">
        <v>88</v>
      </c>
    </row>
    <row r="129" spans="1:21" x14ac:dyDescent="0.2">
      <c r="A129" s="1" t="s">
        <v>69</v>
      </c>
      <c r="B129" s="1" t="s">
        <v>68</v>
      </c>
      <c r="C129" s="2">
        <v>2.4098039999999998</v>
      </c>
      <c r="D129" s="2">
        <v>2.2297720000000001</v>
      </c>
      <c r="E129" s="2">
        <v>2.589836</v>
      </c>
      <c r="F129" s="1">
        <v>126</v>
      </c>
      <c r="G129" s="1">
        <v>97</v>
      </c>
      <c r="H129" s="1">
        <v>141</v>
      </c>
      <c r="I129" s="2">
        <f>(C129-1)*100/($C$4-1)</f>
        <v>44.036503527783076</v>
      </c>
      <c r="J129" s="2">
        <v>2.350292</v>
      </c>
      <c r="K129" s="1">
        <v>111</v>
      </c>
      <c r="L129" s="2">
        <v>2.2288610000000002</v>
      </c>
      <c r="M129" s="1">
        <v>117</v>
      </c>
      <c r="N129" s="2">
        <v>2.2876850000000002</v>
      </c>
      <c r="O129" s="1">
        <v>136</v>
      </c>
      <c r="P129" s="2">
        <v>2.3075009999999998</v>
      </c>
      <c r="Q129" s="1">
        <v>120</v>
      </c>
      <c r="R129" s="2">
        <v>2.5575009999999998</v>
      </c>
      <c r="S129" s="1">
        <v>107</v>
      </c>
      <c r="T129" s="2">
        <v>2.7186499999999998</v>
      </c>
      <c r="U129" s="1">
        <v>130</v>
      </c>
    </row>
    <row r="130" spans="1:21" x14ac:dyDescent="0.2">
      <c r="A130" s="1" t="s">
        <v>67</v>
      </c>
      <c r="B130" s="1" t="s">
        <v>66</v>
      </c>
      <c r="C130" s="2">
        <v>2.401189</v>
      </c>
      <c r="D130" s="2">
        <v>2.1110410000000002</v>
      </c>
      <c r="E130" s="2">
        <v>2.6913369999999999</v>
      </c>
      <c r="F130" s="1">
        <v>127</v>
      </c>
      <c r="G130" s="1">
        <v>84</v>
      </c>
      <c r="H130" s="1">
        <v>153</v>
      </c>
      <c r="I130" s="2">
        <f>(C130-1)*100/($C$4-1)</f>
        <v>43.767406207948653</v>
      </c>
      <c r="J130" s="2">
        <v>2.0769229999999999</v>
      </c>
      <c r="K130" s="1">
        <v>141</v>
      </c>
      <c r="L130" s="2">
        <v>1.818935</v>
      </c>
      <c r="M130" s="1">
        <v>155</v>
      </c>
      <c r="N130" s="2">
        <v>2.7053250000000002</v>
      </c>
      <c r="O130" s="1">
        <v>87</v>
      </c>
      <c r="P130" s="2">
        <v>2.2053250000000002</v>
      </c>
      <c r="Q130" s="1">
        <v>142</v>
      </c>
      <c r="R130" s="2">
        <v>2.805326</v>
      </c>
      <c r="S130" s="1">
        <v>73</v>
      </c>
      <c r="T130" s="2">
        <v>2.7053250000000002</v>
      </c>
      <c r="U130" s="1">
        <v>131</v>
      </c>
    </row>
    <row r="131" spans="1:21" x14ac:dyDescent="0.2">
      <c r="A131" s="1" t="s">
        <v>65</v>
      </c>
      <c r="B131" s="1" t="s">
        <v>64</v>
      </c>
      <c r="C131" s="2">
        <v>2.389411</v>
      </c>
      <c r="D131" s="2">
        <v>2.1907540000000001</v>
      </c>
      <c r="E131" s="2">
        <v>2.5880670000000001</v>
      </c>
      <c r="F131" s="1">
        <v>128</v>
      </c>
      <c r="G131" s="1">
        <v>97</v>
      </c>
      <c r="H131" s="1">
        <v>146</v>
      </c>
      <c r="I131" s="2">
        <f>(C131-1)*100/($C$4-1)</f>
        <v>43.399509721238289</v>
      </c>
      <c r="J131" s="2">
        <v>2.3161499999999999</v>
      </c>
      <c r="K131" s="1">
        <v>118</v>
      </c>
      <c r="L131" s="2">
        <v>2.1595439999999999</v>
      </c>
      <c r="M131" s="1">
        <v>128</v>
      </c>
      <c r="N131" s="2">
        <v>2.1854640000000001</v>
      </c>
      <c r="O131" s="1">
        <v>146</v>
      </c>
      <c r="P131" s="2">
        <v>2.3299919999999998</v>
      </c>
      <c r="Q131" s="1">
        <v>118</v>
      </c>
      <c r="R131" s="2">
        <v>2.6102180000000001</v>
      </c>
      <c r="S131" s="1">
        <v>102</v>
      </c>
      <c r="T131" s="2">
        <v>2.7328389999999998</v>
      </c>
      <c r="U131" s="1">
        <v>128</v>
      </c>
    </row>
    <row r="132" spans="1:21" x14ac:dyDescent="0.2">
      <c r="A132" s="1" t="s">
        <v>63</v>
      </c>
      <c r="B132" s="1" t="s">
        <v>62</v>
      </c>
      <c r="C132" s="2">
        <v>2.387105</v>
      </c>
      <c r="D132" s="2">
        <v>2.1072250000000001</v>
      </c>
      <c r="E132" s="2">
        <v>2.6669860000000001</v>
      </c>
      <c r="F132" s="1">
        <v>129</v>
      </c>
      <c r="G132" s="1">
        <v>86</v>
      </c>
      <c r="H132" s="1">
        <v>153</v>
      </c>
      <c r="I132" s="2">
        <f>(C132-1)*100/($C$4-1)</f>
        <v>43.327479724774186</v>
      </c>
      <c r="J132" s="2">
        <v>2.0079549999999999</v>
      </c>
      <c r="K132" s="1">
        <v>144</v>
      </c>
      <c r="L132" s="2">
        <v>1.7797400000000001</v>
      </c>
      <c r="M132" s="1">
        <v>159</v>
      </c>
      <c r="N132" s="2">
        <v>2.5340910000000001</v>
      </c>
      <c r="O132" s="1">
        <v>108</v>
      </c>
      <c r="P132" s="2">
        <v>2.2840910000000001</v>
      </c>
      <c r="Q132" s="1">
        <v>126</v>
      </c>
      <c r="R132" s="2">
        <v>2.7840910000000001</v>
      </c>
      <c r="S132" s="1">
        <v>80</v>
      </c>
      <c r="T132" s="2">
        <v>2.856331</v>
      </c>
      <c r="U132" s="1">
        <v>116</v>
      </c>
    </row>
    <row r="133" spans="1:21" x14ac:dyDescent="0.2">
      <c r="A133" s="1" t="s">
        <v>61</v>
      </c>
      <c r="B133" s="1" t="s">
        <v>60</v>
      </c>
      <c r="C133" s="2">
        <v>2.3732739999999999</v>
      </c>
      <c r="D133" s="2">
        <v>2.1696520000000001</v>
      </c>
      <c r="E133" s="2">
        <v>2.5768949999999999</v>
      </c>
      <c r="F133" s="1">
        <v>130</v>
      </c>
      <c r="G133" s="1">
        <v>100</v>
      </c>
      <c r="H133" s="1">
        <v>148</v>
      </c>
      <c r="I133" s="2">
        <f>(C133-1)*100/($C$4-1)</f>
        <v>42.895455925513602</v>
      </c>
      <c r="J133" s="2">
        <v>2.2244929999999998</v>
      </c>
      <c r="K133" s="1">
        <v>127</v>
      </c>
      <c r="L133" s="2">
        <v>2.0964909999999999</v>
      </c>
      <c r="M133" s="1">
        <v>135</v>
      </c>
      <c r="N133" s="2">
        <v>2.4853800000000001</v>
      </c>
      <c r="O133" s="1">
        <v>117</v>
      </c>
      <c r="P133" s="2">
        <v>2.2076020000000001</v>
      </c>
      <c r="Q133" s="1">
        <v>140</v>
      </c>
      <c r="R133" s="2">
        <v>2.0997590000000002</v>
      </c>
      <c r="S133" s="1">
        <v>152</v>
      </c>
      <c r="T133" s="2">
        <v>3.0606810000000002</v>
      </c>
      <c r="U133" s="1">
        <v>93</v>
      </c>
    </row>
    <row r="134" spans="1:21" x14ac:dyDescent="0.2">
      <c r="A134" s="1" t="s">
        <v>59</v>
      </c>
      <c r="B134" s="1" t="s">
        <v>58</v>
      </c>
      <c r="C134" s="2">
        <v>2.3583759999999998</v>
      </c>
      <c r="D134" s="2">
        <v>2.1942520000000001</v>
      </c>
      <c r="E134" s="2">
        <v>2.5225</v>
      </c>
      <c r="F134" s="1">
        <v>131</v>
      </c>
      <c r="G134" s="1">
        <v>113</v>
      </c>
      <c r="H134" s="1">
        <v>146</v>
      </c>
      <c r="I134" s="2">
        <f>(C134-1)*100/($C$4-1)</f>
        <v>42.430103415833592</v>
      </c>
      <c r="J134" s="2">
        <v>2.318927</v>
      </c>
      <c r="K134" s="1">
        <v>117</v>
      </c>
      <c r="L134" s="2">
        <v>2.1524359999999998</v>
      </c>
      <c r="M134" s="1">
        <v>129</v>
      </c>
      <c r="N134" s="2">
        <v>2.5352169999999998</v>
      </c>
      <c r="O134" s="1">
        <v>106</v>
      </c>
      <c r="P134" s="2">
        <v>2.2108819999999998</v>
      </c>
      <c r="Q134" s="1">
        <v>139</v>
      </c>
      <c r="R134" s="2">
        <v>2.131688</v>
      </c>
      <c r="S134" s="1">
        <v>148</v>
      </c>
      <c r="T134" s="2">
        <v>2.742127</v>
      </c>
      <c r="U134" s="1">
        <v>127</v>
      </c>
    </row>
    <row r="135" spans="1:21" x14ac:dyDescent="0.2">
      <c r="A135" s="1" t="s">
        <v>57</v>
      </c>
      <c r="B135" s="1" t="s">
        <v>56</v>
      </c>
      <c r="C135" s="2">
        <v>2.3583120000000002</v>
      </c>
      <c r="D135" s="2">
        <v>2.1981009999999999</v>
      </c>
      <c r="E135" s="2">
        <v>2.5185230000000001</v>
      </c>
      <c r="F135" s="1">
        <v>132</v>
      </c>
      <c r="G135" s="1">
        <v>114</v>
      </c>
      <c r="H135" s="1">
        <v>145</v>
      </c>
      <c r="I135" s="2">
        <f>(C135-1)*100/($C$4-1)</f>
        <v>42.42810431792654</v>
      </c>
      <c r="J135" s="2">
        <v>2.5536780000000001</v>
      </c>
      <c r="K135" s="1">
        <v>84</v>
      </c>
      <c r="L135" s="2">
        <v>2.0893139999999999</v>
      </c>
      <c r="M135" s="1">
        <v>137</v>
      </c>
      <c r="N135" s="2">
        <v>2.167913</v>
      </c>
      <c r="O135" s="1">
        <v>148</v>
      </c>
      <c r="P135" s="2">
        <v>2.2356940000000001</v>
      </c>
      <c r="Q135" s="1">
        <v>137</v>
      </c>
      <c r="R135" s="2">
        <v>2.439111</v>
      </c>
      <c r="S135" s="1">
        <v>121</v>
      </c>
      <c r="T135" s="2">
        <v>2.6466769999999999</v>
      </c>
      <c r="U135" s="1">
        <v>137</v>
      </c>
    </row>
    <row r="136" spans="1:21" x14ac:dyDescent="0.2">
      <c r="A136" s="1" t="s">
        <v>55</v>
      </c>
      <c r="B136" s="1" t="s">
        <v>54</v>
      </c>
      <c r="C136" s="2">
        <v>2.3517269999999999</v>
      </c>
      <c r="D136" s="2">
        <v>2.1028380000000002</v>
      </c>
      <c r="E136" s="2">
        <v>2.6006170000000002</v>
      </c>
      <c r="F136" s="1">
        <v>133</v>
      </c>
      <c r="G136" s="1">
        <v>94</v>
      </c>
      <c r="H136" s="1">
        <v>154</v>
      </c>
      <c r="I136" s="2">
        <f>(C136-1)*100/($C$4-1)</f>
        <v>42.22241588483196</v>
      </c>
      <c r="J136" s="2">
        <v>2.4121060000000001</v>
      </c>
      <c r="K136" s="1">
        <v>101</v>
      </c>
      <c r="L136" s="2">
        <v>2.4027609999999999</v>
      </c>
      <c r="M136" s="1">
        <v>99</v>
      </c>
      <c r="N136" s="2">
        <v>2.1621060000000001</v>
      </c>
      <c r="O136" s="1">
        <v>149</v>
      </c>
      <c r="P136" s="2">
        <v>2.3076919999999999</v>
      </c>
      <c r="Q136" s="1">
        <v>119</v>
      </c>
      <c r="R136" s="2">
        <v>2.3076919999999999</v>
      </c>
      <c r="S136" s="1">
        <v>132</v>
      </c>
      <c r="T136" s="2">
        <v>2.5384609999999999</v>
      </c>
      <c r="U136" s="1">
        <v>143</v>
      </c>
    </row>
    <row r="137" spans="1:21" x14ac:dyDescent="0.2">
      <c r="A137" s="1" t="s">
        <v>53</v>
      </c>
      <c r="B137" s="1" t="s">
        <v>52</v>
      </c>
      <c r="C137" s="2">
        <v>2.3395579999999998</v>
      </c>
      <c r="D137" s="2">
        <v>2.1231949999999999</v>
      </c>
      <c r="E137" s="2">
        <v>2.5559210000000001</v>
      </c>
      <c r="F137" s="1">
        <v>134</v>
      </c>
      <c r="G137" s="1">
        <v>108</v>
      </c>
      <c r="H137" s="1">
        <v>151</v>
      </c>
      <c r="I137" s="2">
        <f>(C137-1)*100/($C$4-1)</f>
        <v>41.842306159345583</v>
      </c>
      <c r="J137" s="2">
        <v>1.9230769999999999</v>
      </c>
      <c r="K137" s="1">
        <v>150</v>
      </c>
      <c r="L137" s="2">
        <v>2.1661730000000001</v>
      </c>
      <c r="M137" s="1">
        <v>127</v>
      </c>
      <c r="N137" s="2">
        <v>2.3126120000000001</v>
      </c>
      <c r="O137" s="1">
        <v>133</v>
      </c>
      <c r="P137" s="2">
        <v>2.33284</v>
      </c>
      <c r="Q137" s="1">
        <v>116</v>
      </c>
      <c r="R137" s="2">
        <v>2.33284</v>
      </c>
      <c r="S137" s="1">
        <v>131</v>
      </c>
      <c r="T137" s="2">
        <v>2.948976</v>
      </c>
      <c r="U137" s="1">
        <v>104</v>
      </c>
    </row>
    <row r="138" spans="1:21" x14ac:dyDescent="0.2">
      <c r="A138" s="1" t="s">
        <v>51</v>
      </c>
      <c r="B138" s="1" t="s">
        <v>50</v>
      </c>
      <c r="C138" s="2">
        <v>2.3310710000000001</v>
      </c>
      <c r="D138" s="2">
        <v>2.110509</v>
      </c>
      <c r="E138" s="2">
        <v>2.5516329999999998</v>
      </c>
      <c r="F138" s="1">
        <v>135</v>
      </c>
      <c r="G138" s="1">
        <v>108</v>
      </c>
      <c r="H138" s="1">
        <v>153</v>
      </c>
      <c r="I138" s="2">
        <f>(C138-1)*100/($C$4-1)</f>
        <v>41.577207035325308</v>
      </c>
      <c r="J138" s="2">
        <v>2.2000000000000002</v>
      </c>
      <c r="K138" s="1">
        <v>128</v>
      </c>
      <c r="L138" s="2">
        <v>2.262861</v>
      </c>
      <c r="M138" s="1">
        <v>112</v>
      </c>
      <c r="N138" s="2">
        <v>2.1923689999999998</v>
      </c>
      <c r="O138" s="1">
        <v>145</v>
      </c>
      <c r="P138" s="2">
        <v>2.1923689999999998</v>
      </c>
      <c r="Q138" s="1">
        <v>144</v>
      </c>
      <c r="R138" s="2">
        <v>2.46841</v>
      </c>
      <c r="S138" s="1">
        <v>119</v>
      </c>
      <c r="T138" s="2">
        <v>2.6766459999999999</v>
      </c>
      <c r="U138" s="1">
        <v>134</v>
      </c>
    </row>
    <row r="139" spans="1:21" x14ac:dyDescent="0.2">
      <c r="A139" s="1" t="s">
        <v>49</v>
      </c>
      <c r="B139" s="1" t="s">
        <v>48</v>
      </c>
      <c r="C139" s="2">
        <v>2.3176429999999999</v>
      </c>
      <c r="D139" s="2">
        <v>1.9346909999999999</v>
      </c>
      <c r="E139" s="2">
        <v>2.7005940000000002</v>
      </c>
      <c r="F139" s="1">
        <v>136</v>
      </c>
      <c r="G139" s="1">
        <v>82</v>
      </c>
      <c r="H139" s="1">
        <v>160</v>
      </c>
      <c r="I139" s="2">
        <f>(C139-1)*100/($C$4-1)</f>
        <v>41.157771305698297</v>
      </c>
      <c r="J139" s="2">
        <v>1.9102680000000001</v>
      </c>
      <c r="K139" s="1">
        <v>151</v>
      </c>
      <c r="L139" s="2">
        <v>1.875</v>
      </c>
      <c r="M139" s="1">
        <v>151</v>
      </c>
      <c r="N139" s="2">
        <v>2.875</v>
      </c>
      <c r="O139" s="1">
        <v>62</v>
      </c>
      <c r="P139" s="2">
        <v>2.25</v>
      </c>
      <c r="Q139" s="1">
        <v>133</v>
      </c>
      <c r="R139" s="2">
        <v>2.125</v>
      </c>
      <c r="S139" s="1">
        <v>149</v>
      </c>
      <c r="T139" s="2">
        <v>2.75</v>
      </c>
      <c r="U139" s="1">
        <v>126</v>
      </c>
    </row>
    <row r="140" spans="1:21" x14ac:dyDescent="0.2">
      <c r="A140" s="1" t="s">
        <v>47</v>
      </c>
      <c r="B140" s="1" t="s">
        <v>46</v>
      </c>
      <c r="C140" s="2">
        <v>2.2977340000000002</v>
      </c>
      <c r="D140" s="2">
        <v>2.0977730000000001</v>
      </c>
      <c r="E140" s="2">
        <v>2.4976950000000002</v>
      </c>
      <c r="F140" s="1">
        <v>137</v>
      </c>
      <c r="G140" s="1">
        <v>115</v>
      </c>
      <c r="H140" s="1">
        <v>154</v>
      </c>
      <c r="I140" s="2">
        <f>(C140-1)*100/($C$4-1)</f>
        <v>40.535895677075715</v>
      </c>
      <c r="J140" s="2">
        <v>2.1666669999999999</v>
      </c>
      <c r="K140" s="1">
        <v>131</v>
      </c>
      <c r="L140" s="2">
        <v>1.9946889999999999</v>
      </c>
      <c r="M140" s="1">
        <v>143</v>
      </c>
      <c r="N140" s="2">
        <v>2.1991420000000002</v>
      </c>
      <c r="O140" s="1">
        <v>144</v>
      </c>
      <c r="P140" s="2">
        <v>2.2792509999999999</v>
      </c>
      <c r="Q140" s="1">
        <v>128</v>
      </c>
      <c r="R140" s="2">
        <v>2.2023269999999999</v>
      </c>
      <c r="S140" s="1">
        <v>143</v>
      </c>
      <c r="T140" s="2">
        <v>2.9084189999999999</v>
      </c>
      <c r="U140" s="1">
        <v>108</v>
      </c>
    </row>
    <row r="141" spans="1:21" x14ac:dyDescent="0.2">
      <c r="A141" s="1" t="s">
        <v>45</v>
      </c>
      <c r="B141" s="1" t="s">
        <v>44</v>
      </c>
      <c r="C141" s="2">
        <v>2.2955410000000001</v>
      </c>
      <c r="D141" s="2">
        <v>2.0847180000000001</v>
      </c>
      <c r="E141" s="2">
        <v>2.506364</v>
      </c>
      <c r="F141" s="1">
        <v>138</v>
      </c>
      <c r="G141" s="1">
        <v>115</v>
      </c>
      <c r="H141" s="1">
        <v>155</v>
      </c>
      <c r="I141" s="2">
        <f>(C141-1)*100/($C$4-1)</f>
        <v>40.467395337853787</v>
      </c>
      <c r="J141" s="2">
        <v>1.819048</v>
      </c>
      <c r="K141" s="1">
        <v>154</v>
      </c>
      <c r="L141" s="2">
        <v>2.5142859999999998</v>
      </c>
      <c r="M141" s="1">
        <v>82</v>
      </c>
      <c r="N141" s="2">
        <v>2.3662999999999998</v>
      </c>
      <c r="O141" s="1">
        <v>126</v>
      </c>
      <c r="P141" s="2">
        <v>2.289377</v>
      </c>
      <c r="Q141" s="1">
        <v>124</v>
      </c>
      <c r="R141" s="2">
        <v>2.3662999999999998</v>
      </c>
      <c r="S141" s="1">
        <v>128</v>
      </c>
      <c r="T141" s="2">
        <v>2.4432230000000001</v>
      </c>
      <c r="U141" s="1">
        <v>148</v>
      </c>
    </row>
    <row r="142" spans="1:21" x14ac:dyDescent="0.2">
      <c r="A142" s="1" t="s">
        <v>43</v>
      </c>
      <c r="B142" s="1" t="s">
        <v>42</v>
      </c>
      <c r="C142" s="2">
        <v>2.277266</v>
      </c>
      <c r="D142" s="2">
        <v>1.9921720000000001</v>
      </c>
      <c r="E142" s="2">
        <v>2.5623610000000001</v>
      </c>
      <c r="F142" s="1">
        <v>139</v>
      </c>
      <c r="G142" s="1">
        <v>107</v>
      </c>
      <c r="H142" s="1">
        <v>159</v>
      </c>
      <c r="I142" s="2">
        <f>(C142-1)*100/($C$4-1)</f>
        <v>39.896559177671072</v>
      </c>
      <c r="J142" s="2">
        <v>2.3611110000000002</v>
      </c>
      <c r="K142" s="1">
        <v>110</v>
      </c>
      <c r="L142" s="2">
        <v>1.9583330000000001</v>
      </c>
      <c r="M142" s="1">
        <v>145</v>
      </c>
      <c r="N142" s="2">
        <v>2.2083330000000001</v>
      </c>
      <c r="O142" s="1">
        <v>140</v>
      </c>
      <c r="P142" s="2">
        <v>2.0324080000000002</v>
      </c>
      <c r="Q142" s="1">
        <v>154</v>
      </c>
      <c r="R142" s="2">
        <v>2.3657409999999999</v>
      </c>
      <c r="S142" s="1">
        <v>129</v>
      </c>
      <c r="T142" s="2">
        <v>2.699074</v>
      </c>
      <c r="U142" s="1">
        <v>132</v>
      </c>
    </row>
    <row r="143" spans="1:21" x14ac:dyDescent="0.2">
      <c r="A143" s="1" t="s">
        <v>41</v>
      </c>
      <c r="B143" s="1" t="s">
        <v>40</v>
      </c>
      <c r="C143" s="2">
        <v>2.2652549999999998</v>
      </c>
      <c r="D143" s="2">
        <v>1.823761</v>
      </c>
      <c r="E143" s="2">
        <v>2.7067489999999998</v>
      </c>
      <c r="F143" s="1">
        <v>140</v>
      </c>
      <c r="G143" s="1">
        <v>80</v>
      </c>
      <c r="H143" s="1">
        <v>160</v>
      </c>
      <c r="I143" s="2">
        <f>(C143-1)*100/($C$4-1)</f>
        <v>39.521384725142767</v>
      </c>
      <c r="J143" s="2">
        <v>2.4007939999999999</v>
      </c>
      <c r="K143" s="1">
        <v>104</v>
      </c>
      <c r="L143" s="2">
        <v>2.1167940000000001</v>
      </c>
      <c r="M143" s="1">
        <v>131</v>
      </c>
      <c r="N143" s="2">
        <v>2.2069839999999998</v>
      </c>
      <c r="O143" s="1">
        <v>141</v>
      </c>
      <c r="P143" s="2">
        <v>2.2595239999999999</v>
      </c>
      <c r="Q143" s="1">
        <v>131</v>
      </c>
      <c r="R143" s="2">
        <v>2.161905</v>
      </c>
      <c r="S143" s="1">
        <v>146</v>
      </c>
      <c r="T143" s="2">
        <v>2.4261910000000002</v>
      </c>
      <c r="U143" s="1">
        <v>151</v>
      </c>
    </row>
    <row r="144" spans="1:21" x14ac:dyDescent="0.2">
      <c r="A144" s="1" t="s">
        <v>39</v>
      </c>
      <c r="B144" s="1" t="s">
        <v>38</v>
      </c>
      <c r="C144" s="2">
        <v>2.2523780000000002</v>
      </c>
      <c r="D144" s="2">
        <v>2.0055990000000001</v>
      </c>
      <c r="E144" s="2">
        <v>2.499158</v>
      </c>
      <c r="F144" s="1">
        <v>141</v>
      </c>
      <c r="G144" s="1">
        <v>115</v>
      </c>
      <c r="H144" s="1">
        <v>159</v>
      </c>
      <c r="I144" s="2">
        <f>(C144-1)*100/($C$4-1)</f>
        <v>39.119159979059454</v>
      </c>
      <c r="J144" s="2">
        <v>2.1692420000000001</v>
      </c>
      <c r="K144" s="1">
        <v>130</v>
      </c>
      <c r="L144" s="2">
        <v>2.2242860000000002</v>
      </c>
      <c r="M144" s="1">
        <v>118</v>
      </c>
      <c r="N144" s="2">
        <v>2.363394</v>
      </c>
      <c r="O144" s="1">
        <v>128</v>
      </c>
      <c r="P144" s="2">
        <v>2.1066389999999999</v>
      </c>
      <c r="Q144" s="1">
        <v>149</v>
      </c>
      <c r="R144" s="2">
        <v>2.1066389999999999</v>
      </c>
      <c r="S144" s="1">
        <v>150</v>
      </c>
      <c r="T144" s="2">
        <v>2.5184039999999999</v>
      </c>
      <c r="U144" s="1">
        <v>145</v>
      </c>
    </row>
    <row r="145" spans="1:21" x14ac:dyDescent="0.2">
      <c r="A145" s="1" t="s">
        <v>37</v>
      </c>
      <c r="B145" s="1" t="s">
        <v>36</v>
      </c>
      <c r="C145" s="2">
        <v>2.2292160000000001</v>
      </c>
      <c r="D145" s="2">
        <v>2.076098</v>
      </c>
      <c r="E145" s="2">
        <v>2.382333</v>
      </c>
      <c r="F145" s="1">
        <v>142</v>
      </c>
      <c r="G145" s="1">
        <v>130</v>
      </c>
      <c r="H145" s="1">
        <v>156</v>
      </c>
      <c r="I145" s="2">
        <f>(C145-1)*100/($C$4-1)</f>
        <v>38.395673952129101</v>
      </c>
      <c r="J145" s="2">
        <v>1.7873840000000001</v>
      </c>
      <c r="K145" s="1">
        <v>156</v>
      </c>
      <c r="L145" s="2">
        <v>2.0969359999999999</v>
      </c>
      <c r="M145" s="1">
        <v>134</v>
      </c>
      <c r="N145" s="2">
        <v>2.379562</v>
      </c>
      <c r="O145" s="1">
        <v>123</v>
      </c>
      <c r="P145" s="2">
        <v>2.206915</v>
      </c>
      <c r="Q145" s="1">
        <v>141</v>
      </c>
      <c r="R145" s="2">
        <v>2.294127</v>
      </c>
      <c r="S145" s="1">
        <v>133</v>
      </c>
      <c r="T145" s="2">
        <v>2.5817589999999999</v>
      </c>
      <c r="U145" s="1">
        <v>141</v>
      </c>
    </row>
    <row r="146" spans="1:21" x14ac:dyDescent="0.2">
      <c r="A146" s="1" t="s">
        <v>35</v>
      </c>
      <c r="B146" s="1" t="s">
        <v>34</v>
      </c>
      <c r="C146" s="2">
        <v>2.2291979999999998</v>
      </c>
      <c r="D146" s="2">
        <v>1.9668969999999999</v>
      </c>
      <c r="E146" s="2">
        <v>2.491498</v>
      </c>
      <c r="F146" s="1">
        <v>143</v>
      </c>
      <c r="G146" s="1">
        <v>115</v>
      </c>
      <c r="H146" s="1">
        <v>159</v>
      </c>
      <c r="I146" s="2">
        <f>(C146-1)*100/($C$4-1)</f>
        <v>38.39511170584273</v>
      </c>
      <c r="J146" s="2">
        <v>1.9056280000000001</v>
      </c>
      <c r="K146" s="1">
        <v>152</v>
      </c>
      <c r="L146" s="2">
        <v>1.9144190000000001</v>
      </c>
      <c r="M146" s="1">
        <v>149</v>
      </c>
      <c r="N146" s="2">
        <v>2.082001</v>
      </c>
      <c r="O146" s="1">
        <v>155</v>
      </c>
      <c r="P146" s="2">
        <v>2.1390739999999999</v>
      </c>
      <c r="Q146" s="1">
        <v>148</v>
      </c>
      <c r="R146" s="2">
        <v>2.048165</v>
      </c>
      <c r="S146" s="1">
        <v>155</v>
      </c>
      <c r="T146" s="2">
        <v>3.2463479999999998</v>
      </c>
      <c r="U146" s="1">
        <v>69</v>
      </c>
    </row>
    <row r="147" spans="1:21" x14ac:dyDescent="0.2">
      <c r="A147" s="1" t="s">
        <v>33</v>
      </c>
      <c r="B147" s="1" t="s">
        <v>32</v>
      </c>
      <c r="C147" s="2">
        <v>2.2086769999999998</v>
      </c>
      <c r="D147" s="2">
        <v>1.9670339999999999</v>
      </c>
      <c r="E147" s="2">
        <v>2.4503200000000001</v>
      </c>
      <c r="F147" s="1">
        <v>144</v>
      </c>
      <c r="G147" s="1">
        <v>117</v>
      </c>
      <c r="H147" s="1">
        <v>159</v>
      </c>
      <c r="I147" s="2">
        <f>(C147-1)*100/($C$4-1)</f>
        <v>37.754119703483795</v>
      </c>
      <c r="J147" s="2">
        <v>2</v>
      </c>
      <c r="K147" s="1">
        <v>145</v>
      </c>
      <c r="L147" s="2">
        <v>1.8128649999999999</v>
      </c>
      <c r="M147" s="1">
        <v>157</v>
      </c>
      <c r="N147" s="2">
        <v>2.6128650000000002</v>
      </c>
      <c r="O147" s="1">
        <v>100</v>
      </c>
      <c r="P147" s="2">
        <v>2.3045390000000001</v>
      </c>
      <c r="Q147" s="1">
        <v>121</v>
      </c>
      <c r="R147" s="2">
        <v>2.2331099999999999</v>
      </c>
      <c r="S147" s="1">
        <v>140</v>
      </c>
      <c r="T147" s="2">
        <v>2.204196</v>
      </c>
      <c r="U147" s="1">
        <v>157</v>
      </c>
    </row>
    <row r="148" spans="1:21" x14ac:dyDescent="0.2">
      <c r="A148" s="1" t="s">
        <v>31</v>
      </c>
      <c r="B148" s="1" t="s">
        <v>30</v>
      </c>
      <c r="C148" s="2">
        <v>2.2008580000000002</v>
      </c>
      <c r="D148" s="2">
        <v>1.989779</v>
      </c>
      <c r="E148" s="2">
        <v>2.411937</v>
      </c>
      <c r="F148" s="1">
        <v>145</v>
      </c>
      <c r="G148" s="1">
        <v>126</v>
      </c>
      <c r="H148" s="1">
        <v>159</v>
      </c>
      <c r="I148" s="2">
        <f>(C148-1)*100/($C$4-1)</f>
        <v>37.509886163868558</v>
      </c>
      <c r="J148" s="2">
        <v>2.4470160000000001</v>
      </c>
      <c r="K148" s="1">
        <v>93</v>
      </c>
      <c r="L148" s="2">
        <v>1.5555559999999999</v>
      </c>
      <c r="M148" s="1">
        <v>160</v>
      </c>
      <c r="N148" s="2">
        <v>2.3220160000000001</v>
      </c>
      <c r="O148" s="1">
        <v>132</v>
      </c>
      <c r="P148" s="2">
        <v>2.0720160000000001</v>
      </c>
      <c r="Q148" s="1">
        <v>152</v>
      </c>
      <c r="R148" s="2">
        <v>2.6970160000000001</v>
      </c>
      <c r="S148" s="1">
        <v>91</v>
      </c>
      <c r="T148" s="2">
        <v>2.0368900000000001</v>
      </c>
      <c r="U148" s="1">
        <v>160</v>
      </c>
    </row>
    <row r="149" spans="1:21" x14ac:dyDescent="0.2">
      <c r="A149" s="1" t="s">
        <v>29</v>
      </c>
      <c r="B149" s="1" t="s">
        <v>28</v>
      </c>
      <c r="C149" s="2">
        <v>2.1971590000000001</v>
      </c>
      <c r="D149" s="2">
        <v>2.0048720000000002</v>
      </c>
      <c r="E149" s="2">
        <v>2.389446</v>
      </c>
      <c r="F149" s="1">
        <v>146</v>
      </c>
      <c r="G149" s="1">
        <v>128</v>
      </c>
      <c r="H149" s="1">
        <v>159</v>
      </c>
      <c r="I149" s="2">
        <f>(C149-1)*100/($C$4-1)</f>
        <v>37.394344552020897</v>
      </c>
      <c r="J149" s="2">
        <v>2.0296720000000001</v>
      </c>
      <c r="K149" s="1">
        <v>143</v>
      </c>
      <c r="L149" s="2">
        <v>2.0416669999999999</v>
      </c>
      <c r="M149" s="1">
        <v>139</v>
      </c>
      <c r="N149" s="2">
        <v>2.2704119999999999</v>
      </c>
      <c r="O149" s="1">
        <v>137</v>
      </c>
      <c r="P149" s="2">
        <v>2.2024409999999999</v>
      </c>
      <c r="Q149" s="1">
        <v>143</v>
      </c>
      <c r="R149" s="2">
        <v>2.1468859999999999</v>
      </c>
      <c r="S149" s="1">
        <v>147</v>
      </c>
      <c r="T149" s="2">
        <v>2.462494</v>
      </c>
      <c r="U149" s="1">
        <v>147</v>
      </c>
    </row>
    <row r="150" spans="1:21" x14ac:dyDescent="0.2">
      <c r="A150" s="1" t="s">
        <v>27</v>
      </c>
      <c r="B150" s="1" t="s">
        <v>26</v>
      </c>
      <c r="C150" s="2">
        <v>2.1762709999999998</v>
      </c>
      <c r="D150" s="2">
        <v>2.0386519999999999</v>
      </c>
      <c r="E150" s="2">
        <v>2.3138899999999998</v>
      </c>
      <c r="F150" s="1">
        <v>147</v>
      </c>
      <c r="G150" s="1">
        <v>137</v>
      </c>
      <c r="H150" s="1">
        <v>159</v>
      </c>
      <c r="I150" s="2">
        <f>(C150-1)*100/($C$4-1)</f>
        <v>36.741888972601103</v>
      </c>
      <c r="J150" s="2">
        <v>1.839437</v>
      </c>
      <c r="K150" s="1">
        <v>153</v>
      </c>
      <c r="L150" s="2">
        <v>2.0335000000000001</v>
      </c>
      <c r="M150" s="1">
        <v>140</v>
      </c>
      <c r="N150" s="2">
        <v>2.3248120000000001</v>
      </c>
      <c r="O150" s="1">
        <v>131</v>
      </c>
      <c r="P150" s="2">
        <v>1.908431</v>
      </c>
      <c r="Q150" s="1">
        <v>159</v>
      </c>
      <c r="R150" s="2">
        <v>2.1915330000000002</v>
      </c>
      <c r="S150" s="1">
        <v>144</v>
      </c>
      <c r="T150" s="2">
        <v>2.7199490000000002</v>
      </c>
      <c r="U150" s="1">
        <v>129</v>
      </c>
    </row>
    <row r="151" spans="1:21" x14ac:dyDescent="0.2">
      <c r="A151" s="1" t="s">
        <v>25</v>
      </c>
      <c r="B151" s="1" t="s">
        <v>24</v>
      </c>
      <c r="C151" s="2">
        <v>2.1741009999999998</v>
      </c>
      <c r="D151" s="2">
        <v>1.950027</v>
      </c>
      <c r="E151" s="2">
        <v>2.3981750000000002</v>
      </c>
      <c r="F151" s="1">
        <v>148</v>
      </c>
      <c r="G151" s="1">
        <v>128</v>
      </c>
      <c r="H151" s="1">
        <v>159</v>
      </c>
      <c r="I151" s="2">
        <f>(C151-1)*100/($C$4-1)</f>
        <v>36.674107059189531</v>
      </c>
      <c r="J151" s="2">
        <v>2.321008</v>
      </c>
      <c r="K151" s="1">
        <v>116</v>
      </c>
      <c r="L151" s="2">
        <v>1.9707600000000001</v>
      </c>
      <c r="M151" s="1">
        <v>144</v>
      </c>
      <c r="N151" s="2">
        <v>2.1472310000000001</v>
      </c>
      <c r="O151" s="1">
        <v>150</v>
      </c>
      <c r="P151" s="2">
        <v>1.8827469999999999</v>
      </c>
      <c r="Q151" s="1">
        <v>160</v>
      </c>
      <c r="R151" s="2">
        <v>2.2577470000000002</v>
      </c>
      <c r="S151" s="1">
        <v>138</v>
      </c>
      <c r="T151" s="2">
        <v>2.43608</v>
      </c>
      <c r="U151" s="1">
        <v>150</v>
      </c>
    </row>
    <row r="152" spans="1:21" x14ac:dyDescent="0.2">
      <c r="A152" s="1" t="s">
        <v>23</v>
      </c>
      <c r="B152" s="1" t="s">
        <v>22</v>
      </c>
      <c r="C152" s="2">
        <v>2.1689799999999999</v>
      </c>
      <c r="D152" s="2">
        <v>1.9506589999999999</v>
      </c>
      <c r="E152" s="2">
        <v>2.387302</v>
      </c>
      <c r="F152" s="1">
        <v>149</v>
      </c>
      <c r="G152" s="1">
        <v>129</v>
      </c>
      <c r="H152" s="1">
        <v>159</v>
      </c>
      <c r="I152" s="2">
        <f>(C152-1)*100/($C$4-1)</f>
        <v>36.514147990719181</v>
      </c>
      <c r="J152" s="2">
        <v>2.1363819999999998</v>
      </c>
      <c r="K152" s="1">
        <v>135</v>
      </c>
      <c r="L152" s="2">
        <v>1.9083330000000001</v>
      </c>
      <c r="M152" s="1">
        <v>150</v>
      </c>
      <c r="N152" s="2">
        <v>1.8039019999999999</v>
      </c>
      <c r="O152" s="1">
        <v>160</v>
      </c>
      <c r="P152" s="2">
        <v>2.346263</v>
      </c>
      <c r="Q152" s="1">
        <v>115</v>
      </c>
      <c r="R152" s="2">
        <v>2.346263</v>
      </c>
      <c r="S152" s="1">
        <v>130</v>
      </c>
      <c r="T152" s="2">
        <v>2.486475</v>
      </c>
      <c r="U152" s="1">
        <v>146</v>
      </c>
    </row>
    <row r="153" spans="1:21" x14ac:dyDescent="0.2">
      <c r="A153" s="1" t="s">
        <v>21</v>
      </c>
      <c r="B153" s="1" t="s">
        <v>20</v>
      </c>
      <c r="C153" s="2">
        <v>2.161902</v>
      </c>
      <c r="D153" s="2">
        <v>1.874066</v>
      </c>
      <c r="E153" s="2">
        <v>2.4497390000000001</v>
      </c>
      <c r="F153" s="1">
        <v>150</v>
      </c>
      <c r="G153" s="1">
        <v>117</v>
      </c>
      <c r="H153" s="1">
        <v>160</v>
      </c>
      <c r="I153" s="2">
        <f>(C153-1)*100/($C$4-1)</f>
        <v>36.293060256559222</v>
      </c>
      <c r="J153" s="2">
        <v>1.9555400000000001</v>
      </c>
      <c r="K153" s="1">
        <v>148</v>
      </c>
      <c r="L153" s="2">
        <v>2.0918610000000002</v>
      </c>
      <c r="M153" s="1">
        <v>136</v>
      </c>
      <c r="N153" s="2">
        <v>2.0986790000000002</v>
      </c>
      <c r="O153" s="1">
        <v>153</v>
      </c>
      <c r="P153" s="2">
        <v>2.0747620000000002</v>
      </c>
      <c r="Q153" s="1">
        <v>151</v>
      </c>
      <c r="R153" s="2">
        <v>2.0674600000000001</v>
      </c>
      <c r="S153" s="1">
        <v>153</v>
      </c>
      <c r="T153" s="2">
        <v>2.6722649999999999</v>
      </c>
      <c r="U153" s="1">
        <v>135</v>
      </c>
    </row>
    <row r="154" spans="1:21" x14ac:dyDescent="0.2">
      <c r="A154" s="1" t="s">
        <v>19</v>
      </c>
      <c r="B154" s="1" t="s">
        <v>18</v>
      </c>
      <c r="C154" s="2">
        <v>2.1483569999999999</v>
      </c>
      <c r="D154" s="2">
        <v>1.8137449999999999</v>
      </c>
      <c r="E154" s="2">
        <v>2.4829680000000001</v>
      </c>
      <c r="F154" s="1">
        <v>151</v>
      </c>
      <c r="G154" s="1">
        <v>116</v>
      </c>
      <c r="H154" s="1">
        <v>160</v>
      </c>
      <c r="I154" s="2">
        <f>(C154-1)*100/($C$4-1)</f>
        <v>35.869969926070851</v>
      </c>
      <c r="J154" s="2">
        <v>2.2380949999999999</v>
      </c>
      <c r="K154" s="1">
        <v>126</v>
      </c>
      <c r="L154" s="2">
        <v>1.928571</v>
      </c>
      <c r="M154" s="1">
        <v>148</v>
      </c>
      <c r="N154" s="2">
        <v>2.3047620000000002</v>
      </c>
      <c r="O154" s="1">
        <v>135</v>
      </c>
      <c r="P154" s="2">
        <v>1.928571</v>
      </c>
      <c r="Q154" s="1">
        <v>157</v>
      </c>
      <c r="R154" s="2">
        <v>2.104762</v>
      </c>
      <c r="S154" s="1">
        <v>151</v>
      </c>
      <c r="T154" s="2">
        <v>2.3333330000000001</v>
      </c>
      <c r="U154" s="1">
        <v>156</v>
      </c>
    </row>
    <row r="155" spans="1:21" x14ac:dyDescent="0.2">
      <c r="A155" s="1" t="s">
        <v>17</v>
      </c>
      <c r="B155" s="1" t="s">
        <v>16</v>
      </c>
      <c r="C155" s="2">
        <v>2.1201210000000001</v>
      </c>
      <c r="D155" s="2">
        <v>1.8419239999999999</v>
      </c>
      <c r="E155" s="2">
        <v>2.3983180000000002</v>
      </c>
      <c r="F155" s="1">
        <v>152</v>
      </c>
      <c r="G155" s="1">
        <v>128</v>
      </c>
      <c r="H155" s="1">
        <v>160</v>
      </c>
      <c r="I155" s="2">
        <f>(C155-1)*100/($C$4-1)</f>
        <v>34.987992918195665</v>
      </c>
      <c r="J155" s="2">
        <v>2</v>
      </c>
      <c r="K155" s="1">
        <v>146</v>
      </c>
      <c r="L155" s="2">
        <v>1.8333330000000001</v>
      </c>
      <c r="M155" s="1">
        <v>154</v>
      </c>
      <c r="N155" s="2">
        <v>2.0555560000000002</v>
      </c>
      <c r="O155" s="1">
        <v>156</v>
      </c>
      <c r="P155" s="2">
        <v>2.1604939999999999</v>
      </c>
      <c r="Q155" s="1">
        <v>147</v>
      </c>
      <c r="R155" s="2">
        <v>2.2621470000000001</v>
      </c>
      <c r="S155" s="1">
        <v>137</v>
      </c>
      <c r="T155" s="2">
        <v>2.3859569999999999</v>
      </c>
      <c r="U155" s="1">
        <v>152</v>
      </c>
    </row>
    <row r="156" spans="1:21" x14ac:dyDescent="0.2">
      <c r="A156" s="1" t="s">
        <v>15</v>
      </c>
      <c r="B156" s="1" t="s">
        <v>14</v>
      </c>
      <c r="C156" s="2">
        <v>2.1123409999999998</v>
      </c>
      <c r="D156" s="2">
        <v>1.954931</v>
      </c>
      <c r="E156" s="2">
        <v>2.2697509999999999</v>
      </c>
      <c r="F156" s="1">
        <v>153</v>
      </c>
      <c r="G156" s="1">
        <v>140</v>
      </c>
      <c r="H156" s="1">
        <v>159</v>
      </c>
      <c r="I156" s="2">
        <f>(C156-1)*100/($C$4-1)</f>
        <v>34.744977578867527</v>
      </c>
      <c r="J156" s="2">
        <v>2.031682</v>
      </c>
      <c r="K156" s="1">
        <v>142</v>
      </c>
      <c r="L156" s="2">
        <v>1.9446330000000001</v>
      </c>
      <c r="M156" s="1">
        <v>147</v>
      </c>
      <c r="N156" s="2">
        <v>2.0054789999999998</v>
      </c>
      <c r="O156" s="1">
        <v>157</v>
      </c>
      <c r="P156" s="2">
        <v>2.1861489999999999</v>
      </c>
      <c r="Q156" s="1">
        <v>145</v>
      </c>
      <c r="R156" s="2">
        <v>2.054122</v>
      </c>
      <c r="S156" s="1">
        <v>154</v>
      </c>
      <c r="T156" s="2">
        <v>2.439257</v>
      </c>
      <c r="U156" s="1">
        <v>149</v>
      </c>
    </row>
    <row r="157" spans="1:21" x14ac:dyDescent="0.2">
      <c r="A157" s="1" t="s">
        <v>13</v>
      </c>
      <c r="B157" s="1" t="s">
        <v>12</v>
      </c>
      <c r="C157" s="2">
        <v>2.1064620000000001</v>
      </c>
      <c r="D157" s="2">
        <v>1.88832</v>
      </c>
      <c r="E157" s="2">
        <v>2.3246039999999999</v>
      </c>
      <c r="F157" s="1">
        <v>154</v>
      </c>
      <c r="G157" s="1">
        <v>136</v>
      </c>
      <c r="H157" s="1">
        <v>160</v>
      </c>
      <c r="I157" s="2">
        <f>(C157-1)*100/($C$4-1)</f>
        <v>34.561341694560326</v>
      </c>
      <c r="J157" s="2">
        <v>1.953632</v>
      </c>
      <c r="K157" s="1">
        <v>149</v>
      </c>
      <c r="L157" s="2">
        <v>2.2487180000000002</v>
      </c>
      <c r="M157" s="1">
        <v>115</v>
      </c>
      <c r="N157" s="2">
        <v>1.9891350000000001</v>
      </c>
      <c r="O157" s="1">
        <v>159</v>
      </c>
      <c r="P157" s="2">
        <v>2.045299</v>
      </c>
      <c r="Q157" s="1">
        <v>153</v>
      </c>
      <c r="R157" s="2">
        <v>1.6358440000000001</v>
      </c>
      <c r="S157" s="1">
        <v>160</v>
      </c>
      <c r="T157" s="2">
        <v>2.7700849999999999</v>
      </c>
      <c r="U157" s="1">
        <v>123</v>
      </c>
    </row>
    <row r="158" spans="1:21" x14ac:dyDescent="0.2">
      <c r="A158" s="1" t="s">
        <v>11</v>
      </c>
      <c r="B158" s="1" t="s">
        <v>10</v>
      </c>
      <c r="C158" s="2">
        <v>2.0871420000000001</v>
      </c>
      <c r="D158" s="2">
        <v>1.7896460000000001</v>
      </c>
      <c r="E158" s="2">
        <v>2.384639</v>
      </c>
      <c r="F158" s="1">
        <v>155</v>
      </c>
      <c r="G158" s="1">
        <v>130</v>
      </c>
      <c r="H158" s="1">
        <v>160</v>
      </c>
      <c r="I158" s="2">
        <f>(C158-1)*100/($C$4-1)</f>
        <v>33.957864013863741</v>
      </c>
      <c r="J158" s="2">
        <v>2.1339290000000002</v>
      </c>
      <c r="K158" s="1">
        <v>137</v>
      </c>
      <c r="L158" s="2">
        <v>1.8625</v>
      </c>
      <c r="M158" s="1">
        <v>152</v>
      </c>
      <c r="N158" s="2">
        <v>2.0874999999999999</v>
      </c>
      <c r="O158" s="1">
        <v>154</v>
      </c>
      <c r="P158" s="2">
        <v>2.167262</v>
      </c>
      <c r="Q158" s="1">
        <v>146</v>
      </c>
      <c r="R158" s="2">
        <v>2.167262</v>
      </c>
      <c r="S158" s="1">
        <v>145</v>
      </c>
      <c r="T158" s="2">
        <v>2.0815480000000002</v>
      </c>
      <c r="U158" s="1">
        <v>159</v>
      </c>
    </row>
    <row r="159" spans="1:21" x14ac:dyDescent="0.2">
      <c r="A159" s="1" t="s">
        <v>9</v>
      </c>
      <c r="B159" s="1" t="s">
        <v>8</v>
      </c>
      <c r="C159" s="2">
        <v>2.078033</v>
      </c>
      <c r="D159" s="2">
        <v>1.8476379999999999</v>
      </c>
      <c r="E159" s="2">
        <v>2.3084289999999998</v>
      </c>
      <c r="F159" s="1">
        <v>156</v>
      </c>
      <c r="G159" s="1">
        <v>137</v>
      </c>
      <c r="H159" s="1">
        <v>160</v>
      </c>
      <c r="I159" s="2">
        <f>(C159-1)*100/($C$4-1)</f>
        <v>33.673336157059126</v>
      </c>
      <c r="J159" s="2">
        <v>1.818182</v>
      </c>
      <c r="K159" s="1">
        <v>155</v>
      </c>
      <c r="L159" s="2">
        <v>1.818182</v>
      </c>
      <c r="M159" s="1">
        <v>156</v>
      </c>
      <c r="N159" s="2">
        <v>2.1842980000000001</v>
      </c>
      <c r="O159" s="1">
        <v>147</v>
      </c>
      <c r="P159" s="2">
        <v>2</v>
      </c>
      <c r="Q159" s="1">
        <v>156</v>
      </c>
      <c r="R159" s="2">
        <v>2.2727270000000002</v>
      </c>
      <c r="S159" s="1">
        <v>134</v>
      </c>
      <c r="T159" s="2">
        <v>2.3383289999999999</v>
      </c>
      <c r="U159" s="1">
        <v>154</v>
      </c>
    </row>
    <row r="160" spans="1:21" x14ac:dyDescent="0.2">
      <c r="A160" s="1" t="s">
        <v>7</v>
      </c>
      <c r="B160" s="1" t="s">
        <v>6</v>
      </c>
      <c r="C160" s="2">
        <v>2.06995</v>
      </c>
      <c r="D160" s="2">
        <v>1.657845</v>
      </c>
      <c r="E160" s="2">
        <v>2.4820540000000002</v>
      </c>
      <c r="F160" s="1">
        <v>157</v>
      </c>
      <c r="G160" s="1">
        <v>116</v>
      </c>
      <c r="H160" s="1">
        <v>160</v>
      </c>
      <c r="I160" s="2">
        <f>(C160-1)*100/($C$4-1)</f>
        <v>33.420856338577209</v>
      </c>
      <c r="J160" s="2">
        <v>1.7655000000000001</v>
      </c>
      <c r="K160" s="1">
        <v>157</v>
      </c>
      <c r="L160" s="2">
        <v>2.0011109999999999</v>
      </c>
      <c r="M160" s="1">
        <v>142</v>
      </c>
      <c r="N160" s="2">
        <v>2.0011109999999999</v>
      </c>
      <c r="O160" s="1">
        <v>158</v>
      </c>
      <c r="P160" s="2">
        <v>2.1</v>
      </c>
      <c r="Q160" s="1">
        <v>150</v>
      </c>
      <c r="R160" s="2">
        <v>2.2233329999999998</v>
      </c>
      <c r="S160" s="1">
        <v>141</v>
      </c>
      <c r="T160" s="2">
        <v>2.3344450000000001</v>
      </c>
      <c r="U160" s="1">
        <v>155</v>
      </c>
    </row>
    <row r="161" spans="1:21" x14ac:dyDescent="0.2">
      <c r="A161" s="1" t="s">
        <v>5</v>
      </c>
      <c r="B161" s="1" t="s">
        <v>4</v>
      </c>
      <c r="C161" s="2">
        <v>2.063609</v>
      </c>
      <c r="D161" s="2">
        <v>1.846792</v>
      </c>
      <c r="E161" s="2">
        <v>2.2804250000000001</v>
      </c>
      <c r="F161" s="1">
        <v>158</v>
      </c>
      <c r="G161" s="1">
        <v>139</v>
      </c>
      <c r="H161" s="1">
        <v>160</v>
      </c>
      <c r="I161" s="2">
        <f>(C161-1)*100/($C$4-1)</f>
        <v>33.222789466253346</v>
      </c>
      <c r="J161" s="2">
        <v>1.6875</v>
      </c>
      <c r="K161" s="1">
        <v>159</v>
      </c>
      <c r="L161" s="2">
        <v>1.9528650000000001</v>
      </c>
      <c r="M161" s="1">
        <v>146</v>
      </c>
      <c r="N161" s="2">
        <v>2.2144159999999999</v>
      </c>
      <c r="O161" s="1">
        <v>139</v>
      </c>
      <c r="P161" s="2">
        <v>2.3320910000000001</v>
      </c>
      <c r="Q161" s="1">
        <v>117</v>
      </c>
      <c r="R161" s="2">
        <v>2.006542</v>
      </c>
      <c r="S161" s="1">
        <v>156</v>
      </c>
      <c r="T161" s="2">
        <v>2.1654719999999998</v>
      </c>
      <c r="U161" s="1">
        <v>158</v>
      </c>
    </row>
    <row r="162" spans="1:21" x14ac:dyDescent="0.2">
      <c r="A162" s="1" t="s">
        <v>3</v>
      </c>
      <c r="B162" s="1" t="s">
        <v>2</v>
      </c>
      <c r="C162" s="2">
        <v>2.0461580000000001</v>
      </c>
      <c r="D162" s="2">
        <v>1.847173</v>
      </c>
      <c r="E162" s="2">
        <v>2.2451430000000001</v>
      </c>
      <c r="F162" s="1">
        <v>159</v>
      </c>
      <c r="G162" s="1">
        <v>142</v>
      </c>
      <c r="H162" s="1">
        <v>160</v>
      </c>
      <c r="I162" s="2">
        <f>(C162-1)*100/($C$4-1)</f>
        <v>32.677691691624155</v>
      </c>
      <c r="J162" s="2">
        <v>1.571429</v>
      </c>
      <c r="K162" s="1">
        <v>160</v>
      </c>
      <c r="L162" s="2">
        <v>1.857143</v>
      </c>
      <c r="M162" s="1">
        <v>153</v>
      </c>
      <c r="N162" s="2">
        <v>2.202283</v>
      </c>
      <c r="O162" s="1">
        <v>143</v>
      </c>
      <c r="P162" s="2">
        <v>2.0043169999999999</v>
      </c>
      <c r="Q162" s="1">
        <v>155</v>
      </c>
      <c r="R162" s="2">
        <v>2.0043169999999999</v>
      </c>
      <c r="S162" s="1">
        <v>157</v>
      </c>
      <c r="T162" s="2">
        <v>2.594983</v>
      </c>
      <c r="U162" s="1">
        <v>140</v>
      </c>
    </row>
    <row r="163" spans="1:21" x14ac:dyDescent="0.2">
      <c r="A163" s="1" t="s">
        <v>1</v>
      </c>
      <c r="B163" s="1" t="s">
        <v>0</v>
      </c>
      <c r="C163" s="2">
        <v>1.9485650000000001</v>
      </c>
      <c r="D163" s="2">
        <v>1.790851</v>
      </c>
      <c r="E163" s="2">
        <v>2.1062799999999999</v>
      </c>
      <c r="F163" s="1">
        <v>160</v>
      </c>
      <c r="G163" s="1">
        <v>155</v>
      </c>
      <c r="H163" s="1">
        <v>160</v>
      </c>
      <c r="I163" s="2">
        <f>(C163-1)*100/($C$4-1)</f>
        <v>29.629286034676852</v>
      </c>
      <c r="J163" s="2">
        <v>1.7349000000000001</v>
      </c>
      <c r="K163" s="1">
        <v>158</v>
      </c>
      <c r="L163" s="2">
        <v>1.8071429999999999</v>
      </c>
      <c r="M163" s="1">
        <v>158</v>
      </c>
      <c r="N163" s="2">
        <v>2.1044309999999999</v>
      </c>
      <c r="O163" s="1">
        <v>152</v>
      </c>
      <c r="P163" s="2">
        <v>1.919246</v>
      </c>
      <c r="Q163" s="1">
        <v>158</v>
      </c>
      <c r="R163" s="2">
        <v>1.6970240000000001</v>
      </c>
      <c r="S163" s="1">
        <v>159</v>
      </c>
      <c r="T163" s="2">
        <v>2.3824380000000001</v>
      </c>
      <c r="U163" s="1">
        <v>153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Rønnebek Hansen</dc:creator>
  <cp:lastModifiedBy>Thomas Rønnebek Hansen</cp:lastModifiedBy>
  <dcterms:created xsi:type="dcterms:W3CDTF">2026-03-17T13:22:22Z</dcterms:created>
  <dcterms:modified xsi:type="dcterms:W3CDTF">2026-03-17T13:24:08Z</dcterms:modified>
</cp:coreProperties>
</file>