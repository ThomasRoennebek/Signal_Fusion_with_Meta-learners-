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/Desktop/Master Thesis/Data/Index data/"/>
    </mc:Choice>
  </mc:AlternateContent>
  <xr:revisionPtr revIDLastSave="0" documentId="8_{AA2126CC-F55E-2E4C-B3A1-7BB17AB91CD2}" xr6:coauthVersionLast="47" xr6:coauthVersionMax="47" xr10:uidLastSave="{00000000-0000-0000-0000-000000000000}"/>
  <bookViews>
    <workbookView xWindow="-51200" yWindow="2360" windowWidth="51200" windowHeight="28200" xr2:uid="{61A94BB5-FE50-1041-843C-20AFAEAC0A96}"/>
  </bookViews>
  <sheets>
    <sheet name="201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</calcChain>
</file>

<file path=xl/sharedStrings.xml><?xml version="1.0" encoding="utf-8"?>
<sst xmlns="http://schemas.openxmlformats.org/spreadsheetml/2006/main" count="339" uniqueCount="325">
  <si>
    <t>BDI</t>
  </si>
  <si>
    <t>Burundi</t>
  </si>
  <si>
    <t>DJI</t>
  </si>
  <si>
    <t>Djibouti</t>
  </si>
  <si>
    <t>HTI</t>
  </si>
  <si>
    <t>Haiti</t>
  </si>
  <si>
    <t>TCD</t>
  </si>
  <si>
    <t>Chad</t>
  </si>
  <si>
    <t>NPL</t>
  </si>
  <si>
    <t>Nepal</t>
  </si>
  <si>
    <t>SLE</t>
  </si>
  <si>
    <t>Sierra Leone</t>
  </si>
  <si>
    <t>COG</t>
  </si>
  <si>
    <t>Congo, Rep.</t>
  </si>
  <si>
    <t>SDN</t>
  </si>
  <si>
    <t>Sudan</t>
  </si>
  <si>
    <t>ERI</t>
  </si>
  <si>
    <t>Eritrea</t>
  </si>
  <si>
    <t>COM</t>
  </si>
  <si>
    <t>Comoros</t>
  </si>
  <si>
    <t>IRQ</t>
  </si>
  <si>
    <t>Iraq</t>
  </si>
  <si>
    <t>CUB</t>
  </si>
  <si>
    <t>Cuba</t>
  </si>
  <si>
    <t>ZAR</t>
  </si>
  <si>
    <t>Congo, Dem. Rep.</t>
  </si>
  <si>
    <t>LSO</t>
  </si>
  <si>
    <t>Lesotho</t>
  </si>
  <si>
    <t>ETH</t>
  </si>
  <si>
    <t>Ethiopia</t>
  </si>
  <si>
    <t>MNG</t>
  </si>
  <si>
    <t>Mongolia</t>
  </si>
  <si>
    <t>RWA</t>
  </si>
  <si>
    <t>Rwanda</t>
  </si>
  <si>
    <t>AGO</t>
  </si>
  <si>
    <t>Angola</t>
  </si>
  <si>
    <t>LBY</t>
  </si>
  <si>
    <t>Libya</t>
  </si>
  <si>
    <t>TJK</t>
  </si>
  <si>
    <t>Tajikistan</t>
  </si>
  <si>
    <t>AFG</t>
  </si>
  <si>
    <t>Afghanistan</t>
  </si>
  <si>
    <t>BFA</t>
  </si>
  <si>
    <t>Burkina Faso</t>
  </si>
  <si>
    <t>GUY</t>
  </si>
  <si>
    <t>Guyana</t>
  </si>
  <si>
    <t>MDA</t>
  </si>
  <si>
    <t>Moldova</t>
  </si>
  <si>
    <t>GAB</t>
  </si>
  <si>
    <t>Gabon</t>
  </si>
  <si>
    <t>KGZ</t>
  </si>
  <si>
    <t>Kyrgyz Republic</t>
  </si>
  <si>
    <t>MMR</t>
  </si>
  <si>
    <t>Myanmar</t>
  </si>
  <si>
    <t>PNG</t>
  </si>
  <si>
    <t>Papua New Guinea</t>
  </si>
  <si>
    <t>MRT</t>
  </si>
  <si>
    <t>Mauritania</t>
  </si>
  <si>
    <t>SLB</t>
  </si>
  <si>
    <t>Solomon Islands</t>
  </si>
  <si>
    <t>DZA</t>
  </si>
  <si>
    <t>Algeria</t>
  </si>
  <si>
    <t>JAM</t>
  </si>
  <si>
    <t>Jamaica</t>
  </si>
  <si>
    <t>FJI</t>
  </si>
  <si>
    <t>Fiji</t>
  </si>
  <si>
    <t>KEN</t>
  </si>
  <si>
    <t>Kenya</t>
  </si>
  <si>
    <t>NGA</t>
  </si>
  <si>
    <t>Nigeria</t>
  </si>
  <si>
    <t>MNE</t>
  </si>
  <si>
    <t>Montenegro</t>
  </si>
  <si>
    <t>LBR</t>
  </si>
  <si>
    <t>Liberia</t>
  </si>
  <si>
    <t>GMB</t>
  </si>
  <si>
    <t>Gambia, The</t>
  </si>
  <si>
    <t>UZB</t>
  </si>
  <si>
    <t>Uzbekistan</t>
  </si>
  <si>
    <t>AZE</t>
  </si>
  <si>
    <t>Azerbaijan</t>
  </si>
  <si>
    <t>GIN</t>
  </si>
  <si>
    <t>Guinea</t>
  </si>
  <si>
    <t>STP</t>
  </si>
  <si>
    <t>Sco Tomi and Principe</t>
  </si>
  <si>
    <t>PRY</t>
  </si>
  <si>
    <t>Paraguay</t>
  </si>
  <si>
    <t>IRN</t>
  </si>
  <si>
    <t>Iran, Islamic Rep.</t>
  </si>
  <si>
    <t>VEN</t>
  </si>
  <si>
    <t>Venezuela, RB</t>
  </si>
  <si>
    <t>SEN</t>
  </si>
  <si>
    <t>Senegal</t>
  </si>
  <si>
    <t>LAO</t>
  </si>
  <si>
    <t>Lao PDR</t>
  </si>
  <si>
    <t>GHA</t>
  </si>
  <si>
    <t>Ghana</t>
  </si>
  <si>
    <t>BTN</t>
  </si>
  <si>
    <t>Bhutan</t>
  </si>
  <si>
    <t>CMR</t>
  </si>
  <si>
    <t>Cameroon</t>
  </si>
  <si>
    <t>HND</t>
  </si>
  <si>
    <t>Honduras</t>
  </si>
  <si>
    <t>MDV</t>
  </si>
  <si>
    <t>Maldives</t>
  </si>
  <si>
    <t>ZWE</t>
  </si>
  <si>
    <t>Zimbabwe</t>
  </si>
  <si>
    <t>JOR</t>
  </si>
  <si>
    <t>Jordan</t>
  </si>
  <si>
    <t>KHM</t>
  </si>
  <si>
    <t>Cambodia</t>
  </si>
  <si>
    <t>ARM</t>
  </si>
  <si>
    <t>Armenia</t>
  </si>
  <si>
    <t>MKD</t>
  </si>
  <si>
    <t>Macedonia, FYR</t>
  </si>
  <si>
    <t>CAF</t>
  </si>
  <si>
    <t>Central African Republic</t>
  </si>
  <si>
    <t>TGO</t>
  </si>
  <si>
    <t>Togo</t>
  </si>
  <si>
    <t>LBN</t>
  </si>
  <si>
    <t>Lebanon</t>
  </si>
  <si>
    <t>RUS</t>
  </si>
  <si>
    <t>Russian Federation</t>
  </si>
  <si>
    <t>GNB</t>
  </si>
  <si>
    <t>Guinea-Bissau</t>
  </si>
  <si>
    <t>SLV</t>
  </si>
  <si>
    <t>El Salvador</t>
  </si>
  <si>
    <t>SYR</t>
  </si>
  <si>
    <t>Syrian Arab Republic</t>
  </si>
  <si>
    <t>BLR</t>
  </si>
  <si>
    <t>Belarus</t>
  </si>
  <si>
    <t>BOL</t>
  </si>
  <si>
    <t>Bolivia</t>
  </si>
  <si>
    <t>NAM</t>
  </si>
  <si>
    <t>Namibia</t>
  </si>
  <si>
    <t>TZA</t>
  </si>
  <si>
    <t>Tanzania</t>
  </si>
  <si>
    <t>NER</t>
  </si>
  <si>
    <t>Niger</t>
  </si>
  <si>
    <t>KAZ</t>
  </si>
  <si>
    <t>Kazakhstan</t>
  </si>
  <si>
    <t>DOM</t>
  </si>
  <si>
    <t>Dominican Republic</t>
  </si>
  <si>
    <t>MDG</t>
  </si>
  <si>
    <t>Madagascar</t>
  </si>
  <si>
    <t>CIV</t>
  </si>
  <si>
    <t>Côte d'Ivoire</t>
  </si>
  <si>
    <t>CRI</t>
  </si>
  <si>
    <t>Costa Rica</t>
  </si>
  <si>
    <t>LKA</t>
  </si>
  <si>
    <t>Sri Lanka</t>
  </si>
  <si>
    <t>BHS</t>
  </si>
  <si>
    <t>Bahamas, The</t>
  </si>
  <si>
    <t>ECU</t>
  </si>
  <si>
    <t>Ecuador</t>
  </si>
  <si>
    <t>ALB</t>
  </si>
  <si>
    <t>Albania</t>
  </si>
  <si>
    <t>GEO</t>
  </si>
  <si>
    <t>Georgia</t>
  </si>
  <si>
    <t>LVA</t>
  </si>
  <si>
    <t>Latvia</t>
  </si>
  <si>
    <t>SRB</t>
  </si>
  <si>
    <t>Serbia</t>
  </si>
  <si>
    <t>GTM</t>
  </si>
  <si>
    <t>Guatemala</t>
  </si>
  <si>
    <t>MWI</t>
  </si>
  <si>
    <t>Malawi</t>
  </si>
  <si>
    <t>MUS</t>
  </si>
  <si>
    <t>Mauritius</t>
  </si>
  <si>
    <t>PAK</t>
  </si>
  <si>
    <t>Pakistan</t>
  </si>
  <si>
    <t>KWT</t>
  </si>
  <si>
    <t>Kuwait</t>
  </si>
  <si>
    <t>GRC</t>
  </si>
  <si>
    <t>Greece</t>
  </si>
  <si>
    <t>BWA</t>
  </si>
  <si>
    <t>Botswana</t>
  </si>
  <si>
    <t>BEN</t>
  </si>
  <si>
    <t>Benin</t>
  </si>
  <si>
    <t>UKR</t>
  </si>
  <si>
    <t>Ukraine</t>
  </si>
  <si>
    <t>EST</t>
  </si>
  <si>
    <t>Estonia</t>
  </si>
  <si>
    <t>COL</t>
  </si>
  <si>
    <t>Colombia</t>
  </si>
  <si>
    <t>YEM</t>
  </si>
  <si>
    <t>Yemen, Rep.</t>
  </si>
  <si>
    <t>OMN</t>
  </si>
  <si>
    <t>Oman</t>
  </si>
  <si>
    <t>PAN</t>
  </si>
  <si>
    <t>Panama</t>
  </si>
  <si>
    <t>PER</t>
  </si>
  <si>
    <t>Peru</t>
  </si>
  <si>
    <t>IDN</t>
  </si>
  <si>
    <t>Indonesia</t>
  </si>
  <si>
    <t>LTU</t>
  </si>
  <si>
    <t>Lithuania</t>
  </si>
  <si>
    <t>EGY</t>
  </si>
  <si>
    <t>Egypt, Arab Rep.</t>
  </si>
  <si>
    <t>URY</t>
  </si>
  <si>
    <t>Uruguay</t>
  </si>
  <si>
    <t>BIH</t>
  </si>
  <si>
    <t>Bosnia and Herzegovina</t>
  </si>
  <si>
    <t>ROM</t>
  </si>
  <si>
    <t>Romania</t>
  </si>
  <si>
    <t>VNM</t>
  </si>
  <si>
    <t>Vietnam</t>
  </si>
  <si>
    <t>PHL</t>
  </si>
  <si>
    <t>Philippines</t>
  </si>
  <si>
    <t>SVK</t>
  </si>
  <si>
    <t>Slovak Republic</t>
  </si>
  <si>
    <t>MAR</t>
  </si>
  <si>
    <t>Morocco</t>
  </si>
  <si>
    <t>ARG</t>
  </si>
  <si>
    <t>Argentina</t>
  </si>
  <si>
    <t>BHR</t>
  </si>
  <si>
    <t>Bahrain</t>
  </si>
  <si>
    <t>MEX</t>
  </si>
  <si>
    <t>Mexico</t>
  </si>
  <si>
    <t>IND</t>
  </si>
  <si>
    <t>India</t>
  </si>
  <si>
    <t>BRA</t>
  </si>
  <si>
    <t>Brazil</t>
  </si>
  <si>
    <t>CZE</t>
  </si>
  <si>
    <t>Czech Republic</t>
  </si>
  <si>
    <t>MLT</t>
  </si>
  <si>
    <t>Malta</t>
  </si>
  <si>
    <t>HRV</t>
  </si>
  <si>
    <t>Croatia</t>
  </si>
  <si>
    <t>TUN</t>
  </si>
  <si>
    <t>Tunisia</t>
  </si>
  <si>
    <t>HUN</t>
  </si>
  <si>
    <t>Hungary</t>
  </si>
  <si>
    <t>CHL</t>
  </si>
  <si>
    <t>Chile</t>
  </si>
  <si>
    <t>THA</t>
  </si>
  <si>
    <t>Thailand</t>
  </si>
  <si>
    <t>SAU</t>
  </si>
  <si>
    <t>Saudi Arabia</t>
  </si>
  <si>
    <t>BGR</t>
  </si>
  <si>
    <t>Bulgaria</t>
  </si>
  <si>
    <t>CYP</t>
  </si>
  <si>
    <t>Cyprus</t>
  </si>
  <si>
    <t>SVN</t>
  </si>
  <si>
    <t>Slovenia</t>
  </si>
  <si>
    <t>QAT</t>
  </si>
  <si>
    <t>Qatar</t>
  </si>
  <si>
    <t>ISL</t>
  </si>
  <si>
    <t>Iceland</t>
  </si>
  <si>
    <t>NZL</t>
  </si>
  <si>
    <t>New Zealand</t>
  </si>
  <si>
    <t>POL</t>
  </si>
  <si>
    <t>Poland</t>
  </si>
  <si>
    <t>MYS</t>
  </si>
  <si>
    <t>Malaysia</t>
  </si>
  <si>
    <t>PRT</t>
  </si>
  <si>
    <t>Portugal</t>
  </si>
  <si>
    <t>TUR</t>
  </si>
  <si>
    <t>Turkey</t>
  </si>
  <si>
    <t>CHN</t>
  </si>
  <si>
    <t>China</t>
  </si>
  <si>
    <t>IRL</t>
  </si>
  <si>
    <t>Ireland</t>
  </si>
  <si>
    <t>ITA</t>
  </si>
  <si>
    <t>Italy</t>
  </si>
  <si>
    <t>ZAF</t>
  </si>
  <si>
    <t>South Africa</t>
  </si>
  <si>
    <t>NOR</t>
  </si>
  <si>
    <t>Norway</t>
  </si>
  <si>
    <t>KOR</t>
  </si>
  <si>
    <t>Korea, Rep.</t>
  </si>
  <si>
    <t>ESP</t>
  </si>
  <si>
    <t>Spain</t>
  </si>
  <si>
    <t>TWN</t>
  </si>
  <si>
    <t>Taiwan</t>
  </si>
  <si>
    <t>AUS</t>
  </si>
  <si>
    <t>Australia</t>
  </si>
  <si>
    <t>ARE</t>
  </si>
  <si>
    <t>United Arab Emirates</t>
  </si>
  <si>
    <t>CHE</t>
  </si>
  <si>
    <t>Switzerland</t>
  </si>
  <si>
    <t>LUX</t>
  </si>
  <si>
    <t>Luxembourg</t>
  </si>
  <si>
    <t>CAN</t>
  </si>
  <si>
    <t>Canada</t>
  </si>
  <si>
    <t>SWE</t>
  </si>
  <si>
    <t>Sweden</t>
  </si>
  <si>
    <t>FRA</t>
  </si>
  <si>
    <t>France</t>
  </si>
  <si>
    <t>AUT</t>
  </si>
  <si>
    <t>Austria</t>
  </si>
  <si>
    <t>GBR</t>
  </si>
  <si>
    <t>United Kingdom</t>
  </si>
  <si>
    <t>USA</t>
  </si>
  <si>
    <t>United States</t>
  </si>
  <si>
    <t>JPN</t>
  </si>
  <si>
    <t>Japan</t>
  </si>
  <si>
    <t>BEL</t>
  </si>
  <si>
    <t>Belgium</t>
  </si>
  <si>
    <t>DNK</t>
  </si>
  <si>
    <t>Denmark</t>
  </si>
  <si>
    <t>NLD</t>
  </si>
  <si>
    <t>Netherlands</t>
  </si>
  <si>
    <t>DEU</t>
  </si>
  <si>
    <t>Germany</t>
  </si>
  <si>
    <t>FIN</t>
  </si>
  <si>
    <t>Finland</t>
  </si>
  <si>
    <t>HKG</t>
  </si>
  <si>
    <t>Hong Kong SAR, China</t>
  </si>
  <si>
    <t>SGP</t>
  </si>
  <si>
    <t>Singapore</t>
  </si>
  <si>
    <t>rank</t>
  </si>
  <si>
    <t>score</t>
  </si>
  <si>
    <t>% of highest performer</t>
  </si>
  <si>
    <t>upper bound</t>
  </si>
  <si>
    <t>lower bound</t>
  </si>
  <si>
    <t>Code</t>
  </si>
  <si>
    <t>Country</t>
  </si>
  <si>
    <t>Timeliness</t>
  </si>
  <si>
    <t xml:space="preserve">Tracking and Tracing </t>
  </si>
  <si>
    <t xml:space="preserve">Logistics Competence and Quality </t>
  </si>
  <si>
    <t>International Shipment</t>
  </si>
  <si>
    <t>Infrastructure</t>
  </si>
  <si>
    <t xml:space="preserve">Customs </t>
  </si>
  <si>
    <t>overall LPI rank</t>
  </si>
  <si>
    <t>overall LPI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</si>
</sst>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2" fontId="2" fillId="0" borderId="0" xfId="1" applyNumberFormat="1" applyFont="1"/>
    <xf numFmtId="0" fontId="3" fillId="0" borderId="0" xfId="1" applyFont="1"/>
    <xf numFmtId="2" fontId="3" fillId="0" borderId="0" xfId="1" applyNumberFormat="1" applyFont="1"/>
    <xf numFmtId="2" fontId="1" fillId="0" borderId="0" xfId="1" applyNumberFormat="1"/>
    <xf numFmtId="164" fontId="1" fillId="0" borderId="0" xfId="1" applyNumberFormat="1"/>
    <xf numFmtId="0" fontId="4" fillId="0" borderId="0" xfId="1" applyFont="1"/>
    <xf numFmtId="2" fontId="4" fillId="0" borderId="0" xfId="1" applyNumberFormat="1" applyFont="1"/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/>
  </cellXfs>
  <cellStyles count="2">
    <cellStyle name="Normal" xfId="0" builtinId="0"/>
    <cellStyle name="Normal 2" xfId="1" xr:uid="{1B7511E9-D7DF-0440-B37F-1DEFC4AD4A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F9EB-8233-8440-9F6B-6A62D352D4D2}">
  <dimension ref="A1:U159"/>
  <sheetViews>
    <sheetView tabSelected="1" workbookViewId="0">
      <selection activeCell="Y29" sqref="Y29"/>
    </sheetView>
  </sheetViews>
  <sheetFormatPr baseColWidth="10" defaultColWidth="8.83203125" defaultRowHeight="15" x14ac:dyDescent="0.2"/>
  <cols>
    <col min="1" max="1" width="22.6640625" style="2" bestFit="1" customWidth="1"/>
    <col min="2" max="2" width="8.83203125" style="2"/>
    <col min="3" max="3" width="10.5" style="5" bestFit="1" customWidth="1"/>
    <col min="4" max="5" width="10.5" style="5" customWidth="1"/>
    <col min="6" max="6" width="12.83203125" style="4" bestFit="1" customWidth="1"/>
    <col min="7" max="7" width="11.1640625" style="4" bestFit="1" customWidth="1"/>
    <col min="8" max="8" width="11.33203125" style="4" bestFit="1" customWidth="1"/>
    <col min="9" max="9" width="19.83203125" style="4" bestFit="1" customWidth="1"/>
    <col min="10" max="10" width="9" style="3" bestFit="1" customWidth="1"/>
    <col min="11" max="11" width="5" style="2" bestFit="1" customWidth="1"/>
    <col min="12" max="12" width="13.33203125" style="3" bestFit="1" customWidth="1"/>
    <col min="13" max="13" width="5" style="2" bestFit="1" customWidth="1"/>
    <col min="14" max="14" width="22" style="3" bestFit="1" customWidth="1"/>
    <col min="15" max="15" width="5" style="2" bestFit="1" customWidth="1"/>
    <col min="16" max="16" width="31.83203125" style="3" bestFit="1" customWidth="1"/>
    <col min="17" max="17" width="5" style="2" bestFit="1" customWidth="1"/>
    <col min="18" max="18" width="19.5" style="3" bestFit="1" customWidth="1"/>
    <col min="19" max="19" width="5" style="2" bestFit="1" customWidth="1"/>
    <col min="20" max="20" width="10.5" style="3" bestFit="1" customWidth="1"/>
    <col min="21" max="21" width="5" style="2" bestFit="1" customWidth="1"/>
    <col min="22" max="16384" width="8.83203125" style="1"/>
  </cols>
  <sheetData>
    <row r="1" spans="1:21" x14ac:dyDescent="0.2">
      <c r="C1" s="16" t="s">
        <v>324</v>
      </c>
      <c r="D1" s="16"/>
      <c r="E1" s="16"/>
      <c r="F1" s="16" t="s">
        <v>323</v>
      </c>
      <c r="G1" s="16"/>
      <c r="H1" s="16"/>
      <c r="I1" s="14"/>
      <c r="J1" s="11" t="s">
        <v>322</v>
      </c>
      <c r="L1" s="11" t="s">
        <v>321</v>
      </c>
      <c r="N1" s="11" t="s">
        <v>320</v>
      </c>
      <c r="P1" s="11" t="s">
        <v>319</v>
      </c>
      <c r="R1" s="5" t="s">
        <v>318</v>
      </c>
      <c r="T1" s="5" t="s">
        <v>317</v>
      </c>
    </row>
    <row r="2" spans="1:21" x14ac:dyDescent="0.2">
      <c r="C2" s="15"/>
      <c r="D2" s="15"/>
      <c r="E2" s="15"/>
      <c r="F2" s="14"/>
      <c r="G2" s="14"/>
      <c r="H2" s="14"/>
      <c r="I2" s="14"/>
    </row>
    <row r="3" spans="1:21" x14ac:dyDescent="0.2">
      <c r="A3" s="12" t="s">
        <v>316</v>
      </c>
      <c r="B3" s="10" t="s">
        <v>315</v>
      </c>
      <c r="C3" s="13" t="s">
        <v>311</v>
      </c>
      <c r="D3" s="13" t="s">
        <v>314</v>
      </c>
      <c r="E3" s="13" t="s">
        <v>313</v>
      </c>
      <c r="F3" s="13" t="s">
        <v>310</v>
      </c>
      <c r="G3" s="13" t="s">
        <v>314</v>
      </c>
      <c r="H3" s="13" t="s">
        <v>313</v>
      </c>
      <c r="I3" s="13" t="s">
        <v>312</v>
      </c>
      <c r="J3" s="11" t="s">
        <v>311</v>
      </c>
      <c r="K3" s="12" t="s">
        <v>310</v>
      </c>
      <c r="L3" s="11" t="s">
        <v>311</v>
      </c>
      <c r="M3" s="12" t="s">
        <v>310</v>
      </c>
      <c r="N3" s="11" t="s">
        <v>311</v>
      </c>
      <c r="O3" s="12" t="s">
        <v>310</v>
      </c>
      <c r="P3" s="11" t="s">
        <v>311</v>
      </c>
      <c r="Q3" s="10" t="s">
        <v>310</v>
      </c>
      <c r="R3" s="5" t="s">
        <v>311</v>
      </c>
      <c r="S3" s="10" t="s">
        <v>310</v>
      </c>
      <c r="T3" s="5" t="s">
        <v>311</v>
      </c>
      <c r="U3" s="10" t="s">
        <v>310</v>
      </c>
    </row>
    <row r="4" spans="1:21" x14ac:dyDescent="0.2">
      <c r="A4" s="1" t="s">
        <v>309</v>
      </c>
      <c r="B4" s="1" t="s">
        <v>308</v>
      </c>
      <c r="C4" s="9">
        <v>4.125813</v>
      </c>
      <c r="D4" s="6">
        <v>4.061007</v>
      </c>
      <c r="E4" s="6">
        <v>4.1906189999999999</v>
      </c>
      <c r="F4" s="8">
        <v>1</v>
      </c>
      <c r="G4" s="1">
        <v>1</v>
      </c>
      <c r="H4" s="1">
        <v>2</v>
      </c>
      <c r="I4" s="7">
        <f>(C4-1)*100/($C$4-1)</f>
        <v>100</v>
      </c>
      <c r="J4" s="6">
        <v>4.0988569999999998</v>
      </c>
      <c r="K4" s="1">
        <v>1</v>
      </c>
      <c r="L4" s="6">
        <v>4.1481019999999997</v>
      </c>
      <c r="M4" s="1">
        <v>2</v>
      </c>
      <c r="N4" s="6">
        <v>3.985163</v>
      </c>
      <c r="O4" s="1">
        <v>2</v>
      </c>
      <c r="P4" s="6">
        <v>4.0699319999999997</v>
      </c>
      <c r="Q4" s="1">
        <v>6</v>
      </c>
      <c r="R4" s="6">
        <v>4.0694100000000004</v>
      </c>
      <c r="S4" s="1">
        <v>6</v>
      </c>
      <c r="T4" s="6">
        <v>4.394355</v>
      </c>
      <c r="U4" s="1">
        <v>1</v>
      </c>
    </row>
    <row r="5" spans="1:21" x14ac:dyDescent="0.2">
      <c r="A5" s="1" t="s">
        <v>307</v>
      </c>
      <c r="B5" s="1" t="s">
        <v>306</v>
      </c>
      <c r="C5" s="9">
        <v>4.1213639999999998</v>
      </c>
      <c r="D5" s="6">
        <v>4.0521969999999996</v>
      </c>
      <c r="E5" s="6">
        <v>4.190531</v>
      </c>
      <c r="F5" s="8">
        <v>2</v>
      </c>
      <c r="G5" s="1">
        <v>1</v>
      </c>
      <c r="H5" s="1">
        <v>2</v>
      </c>
      <c r="I5" s="7">
        <f>(C5-1)*100/($C$4-1)</f>
        <v>99.857669028825455</v>
      </c>
      <c r="J5" s="6">
        <v>3.971886</v>
      </c>
      <c r="K5" s="1">
        <v>3</v>
      </c>
      <c r="L5" s="6">
        <v>4.118798</v>
      </c>
      <c r="M5" s="1">
        <v>7</v>
      </c>
      <c r="N5" s="6">
        <v>4.1750889999999998</v>
      </c>
      <c r="O5" s="1">
        <v>1</v>
      </c>
      <c r="P5" s="6">
        <v>4.0759290000000004</v>
      </c>
      <c r="Q5" s="1">
        <v>5</v>
      </c>
      <c r="R5" s="6">
        <v>4.0904749999999996</v>
      </c>
      <c r="S5" s="1">
        <v>5</v>
      </c>
      <c r="T5" s="6">
        <v>4.2849719999999998</v>
      </c>
      <c r="U5" s="1">
        <v>4</v>
      </c>
    </row>
    <row r="6" spans="1:21" x14ac:dyDescent="0.2">
      <c r="A6" s="1" t="s">
        <v>305</v>
      </c>
      <c r="B6" s="1" t="s">
        <v>304</v>
      </c>
      <c r="C6" s="9">
        <v>4.0497170000000002</v>
      </c>
      <c r="D6" s="6">
        <v>3.810413</v>
      </c>
      <c r="E6" s="6">
        <v>4.2890220000000001</v>
      </c>
      <c r="F6" s="8">
        <v>3</v>
      </c>
      <c r="G6" s="1">
        <v>1</v>
      </c>
      <c r="H6" s="1">
        <v>15</v>
      </c>
      <c r="I6" s="7">
        <f>(C6-1)*100/($C$4-1)</f>
        <v>97.565561343560859</v>
      </c>
      <c r="J6" s="6">
        <v>3.9807830000000002</v>
      </c>
      <c r="K6" s="1">
        <v>2</v>
      </c>
      <c r="L6" s="6">
        <v>4.1236410000000001</v>
      </c>
      <c r="M6" s="1">
        <v>6</v>
      </c>
      <c r="N6" s="6">
        <v>3.8464399999999999</v>
      </c>
      <c r="O6" s="1">
        <v>4</v>
      </c>
      <c r="P6" s="6">
        <v>4.1441739999999996</v>
      </c>
      <c r="Q6" s="1">
        <v>1</v>
      </c>
      <c r="R6" s="6">
        <v>4.1441739999999996</v>
      </c>
      <c r="S6" s="1">
        <v>1</v>
      </c>
      <c r="T6" s="6">
        <v>4.095593</v>
      </c>
      <c r="U6" s="1">
        <v>15</v>
      </c>
    </row>
    <row r="7" spans="1:21" x14ac:dyDescent="0.2">
      <c r="A7" s="1" t="s">
        <v>303</v>
      </c>
      <c r="B7" s="1" t="s">
        <v>302</v>
      </c>
      <c r="C7" s="9">
        <v>4.0327200000000003</v>
      </c>
      <c r="D7" s="6">
        <v>3.972216</v>
      </c>
      <c r="E7" s="6">
        <v>4.0932240000000002</v>
      </c>
      <c r="F7" s="8">
        <v>4</v>
      </c>
      <c r="G7" s="1">
        <v>3</v>
      </c>
      <c r="H7" s="1">
        <v>7</v>
      </c>
      <c r="I7" s="7">
        <f>(C7-1)*100/($C$4-1)</f>
        <v>97.021798808821913</v>
      </c>
      <c r="J7" s="6">
        <v>3.8721450000000002</v>
      </c>
      <c r="K7" s="1">
        <v>6</v>
      </c>
      <c r="L7" s="6">
        <v>4.257549</v>
      </c>
      <c r="M7" s="1">
        <v>1</v>
      </c>
      <c r="N7" s="6">
        <v>3.6709930000000002</v>
      </c>
      <c r="O7" s="1">
        <v>11</v>
      </c>
      <c r="P7" s="6">
        <v>4.0938910000000002</v>
      </c>
      <c r="Q7" s="1">
        <v>4</v>
      </c>
      <c r="R7" s="6">
        <v>4.0497319999999997</v>
      </c>
      <c r="S7" s="1">
        <v>7</v>
      </c>
      <c r="T7" s="6">
        <v>4.3176420000000002</v>
      </c>
      <c r="U7" s="1">
        <v>2</v>
      </c>
    </row>
    <row r="8" spans="1:21" x14ac:dyDescent="0.2">
      <c r="A8" s="1" t="s">
        <v>301</v>
      </c>
      <c r="B8" s="1" t="s">
        <v>300</v>
      </c>
      <c r="C8" s="9">
        <v>4.0215709999999998</v>
      </c>
      <c r="D8" s="6">
        <v>3.937128</v>
      </c>
      <c r="E8" s="6">
        <v>4.1060140000000001</v>
      </c>
      <c r="F8" s="8">
        <v>5</v>
      </c>
      <c r="G8" s="1">
        <v>3</v>
      </c>
      <c r="H8" s="1">
        <v>7</v>
      </c>
      <c r="I8" s="7">
        <f>(C8-1)*100/($C$4-1)</f>
        <v>96.665123601443838</v>
      </c>
      <c r="J8" s="6">
        <v>3.8458950000000001</v>
      </c>
      <c r="K8" s="1">
        <v>8</v>
      </c>
      <c r="L8" s="6">
        <v>4.1475119999999999</v>
      </c>
      <c r="M8" s="1">
        <v>3</v>
      </c>
      <c r="N8" s="6">
        <v>3.8624879999999999</v>
      </c>
      <c r="O8" s="1">
        <v>3</v>
      </c>
      <c r="P8" s="6">
        <v>4.0476260000000002</v>
      </c>
      <c r="Q8" s="1">
        <v>7</v>
      </c>
      <c r="R8" s="6">
        <v>4.1167030000000002</v>
      </c>
      <c r="S8" s="1">
        <v>2</v>
      </c>
      <c r="T8" s="6">
        <v>4.1458500000000003</v>
      </c>
      <c r="U8" s="1">
        <v>12</v>
      </c>
    </row>
    <row r="9" spans="1:21" x14ac:dyDescent="0.2">
      <c r="A9" s="1" t="s">
        <v>299</v>
      </c>
      <c r="B9" s="1" t="s">
        <v>298</v>
      </c>
      <c r="C9" s="9">
        <v>4.0181930000000001</v>
      </c>
      <c r="D9" s="6">
        <v>3.8167550000000001</v>
      </c>
      <c r="E9" s="6">
        <v>4.2196300000000004</v>
      </c>
      <c r="F9" s="8">
        <v>6</v>
      </c>
      <c r="G9" s="1">
        <v>1</v>
      </c>
      <c r="H9" s="1">
        <v>15</v>
      </c>
      <c r="I9" s="7">
        <f>(C9-1)*100/($C$4-1)</f>
        <v>96.557055716384824</v>
      </c>
      <c r="J9" s="6">
        <v>3.9339050000000002</v>
      </c>
      <c r="K9" s="1">
        <v>4</v>
      </c>
      <c r="L9" s="6">
        <v>4.0734519999999996</v>
      </c>
      <c r="M9" s="1">
        <v>10</v>
      </c>
      <c r="N9" s="6">
        <v>3.7027380000000001</v>
      </c>
      <c r="O9" s="1">
        <v>8</v>
      </c>
      <c r="P9" s="6">
        <v>4.137143</v>
      </c>
      <c r="Q9" s="1">
        <v>2</v>
      </c>
      <c r="R9" s="6">
        <v>4.097143</v>
      </c>
      <c r="S9" s="1">
        <v>4</v>
      </c>
      <c r="T9" s="6">
        <v>4.2081900000000001</v>
      </c>
      <c r="U9" s="1">
        <v>7</v>
      </c>
    </row>
    <row r="10" spans="1:21" x14ac:dyDescent="0.2">
      <c r="A10" s="1" t="s">
        <v>297</v>
      </c>
      <c r="B10" s="1" t="s">
        <v>296</v>
      </c>
      <c r="C10" s="9">
        <v>3.9802620000000002</v>
      </c>
      <c r="D10" s="6">
        <v>3.84972</v>
      </c>
      <c r="E10" s="6">
        <v>4.1108029999999998</v>
      </c>
      <c r="F10" s="8">
        <v>7</v>
      </c>
      <c r="G10" s="1">
        <v>3</v>
      </c>
      <c r="H10" s="1">
        <v>13</v>
      </c>
      <c r="I10" s="7">
        <f>(C10-1)*100/($C$4-1)</f>
        <v>95.343579414379562</v>
      </c>
      <c r="J10" s="6">
        <v>3.846733</v>
      </c>
      <c r="K10" s="1">
        <v>7</v>
      </c>
      <c r="L10" s="6">
        <v>4.1165570000000002</v>
      </c>
      <c r="M10" s="1">
        <v>8</v>
      </c>
      <c r="N10" s="6">
        <v>3.732367</v>
      </c>
      <c r="O10" s="1">
        <v>6</v>
      </c>
      <c r="P10" s="6">
        <v>3.9837189999999998</v>
      </c>
      <c r="Q10" s="1">
        <v>8</v>
      </c>
      <c r="R10" s="6">
        <v>4.0493759999999996</v>
      </c>
      <c r="S10" s="1">
        <v>8</v>
      </c>
      <c r="T10" s="6">
        <v>4.1978010000000001</v>
      </c>
      <c r="U10" s="1">
        <v>9</v>
      </c>
    </row>
    <row r="11" spans="1:21" x14ac:dyDescent="0.2">
      <c r="A11" s="1" t="s">
        <v>295</v>
      </c>
      <c r="B11" s="1" t="s">
        <v>294</v>
      </c>
      <c r="C11" s="9">
        <v>3.9328599999999998</v>
      </c>
      <c r="D11" s="6">
        <v>3.875467</v>
      </c>
      <c r="E11" s="6">
        <v>3.9902540000000002</v>
      </c>
      <c r="F11" s="8">
        <v>8</v>
      </c>
      <c r="G11" s="1">
        <v>7</v>
      </c>
      <c r="H11" s="1">
        <v>11</v>
      </c>
      <c r="I11" s="7">
        <f>(C11-1)*100/($C$4-1)</f>
        <v>93.827109939078255</v>
      </c>
      <c r="J11" s="6">
        <v>3.7195930000000001</v>
      </c>
      <c r="K11" s="1">
        <v>11</v>
      </c>
      <c r="L11" s="6">
        <v>4.1062719999999997</v>
      </c>
      <c r="M11" s="1">
        <v>9</v>
      </c>
      <c r="N11" s="6">
        <v>3.6114799999999998</v>
      </c>
      <c r="O11" s="1">
        <v>14</v>
      </c>
      <c r="P11" s="6">
        <v>3.974135</v>
      </c>
      <c r="Q11" s="1">
        <v>9</v>
      </c>
      <c r="R11" s="6">
        <v>4.0335679999999998</v>
      </c>
      <c r="S11" s="1">
        <v>9</v>
      </c>
      <c r="T11" s="6">
        <v>4.2107099999999997</v>
      </c>
      <c r="U11" s="1">
        <v>6</v>
      </c>
    </row>
    <row r="12" spans="1:21" x14ac:dyDescent="0.2">
      <c r="A12" s="1" t="s">
        <v>293</v>
      </c>
      <c r="B12" s="1" t="s">
        <v>292</v>
      </c>
      <c r="C12" s="9">
        <v>3.9300630000000001</v>
      </c>
      <c r="D12" s="6">
        <v>3.880557</v>
      </c>
      <c r="E12" s="6">
        <v>3.979568</v>
      </c>
      <c r="F12" s="8">
        <v>9</v>
      </c>
      <c r="G12" s="1">
        <v>8</v>
      </c>
      <c r="H12" s="1">
        <v>11</v>
      </c>
      <c r="I12" s="7">
        <f>(C12-1)*100/($C$4-1)</f>
        <v>93.737629218382551</v>
      </c>
      <c r="J12" s="6">
        <v>3.6718120000000001</v>
      </c>
      <c r="K12" s="1">
        <v>13</v>
      </c>
      <c r="L12" s="6">
        <v>4.138655</v>
      </c>
      <c r="M12" s="1">
        <v>4</v>
      </c>
      <c r="N12" s="6">
        <v>3.5617890000000001</v>
      </c>
      <c r="O12" s="1">
        <v>17</v>
      </c>
      <c r="P12" s="6">
        <v>3.964769</v>
      </c>
      <c r="Q12" s="1">
        <v>10</v>
      </c>
      <c r="R12" s="6">
        <v>4.1104450000000003</v>
      </c>
      <c r="S12" s="1">
        <v>3</v>
      </c>
      <c r="T12" s="6">
        <v>4.2052639999999997</v>
      </c>
      <c r="U12" s="1">
        <v>8</v>
      </c>
    </row>
    <row r="13" spans="1:21" x14ac:dyDescent="0.2">
      <c r="A13" s="1" t="s">
        <v>291</v>
      </c>
      <c r="B13" s="1" t="s">
        <v>290</v>
      </c>
      <c r="C13" s="9">
        <v>3.8983159999999999</v>
      </c>
      <c r="D13" s="6">
        <v>3.8411219999999999</v>
      </c>
      <c r="E13" s="6">
        <v>3.9555090000000002</v>
      </c>
      <c r="F13" s="8">
        <v>10</v>
      </c>
      <c r="G13" s="1">
        <v>8</v>
      </c>
      <c r="H13" s="1">
        <v>14</v>
      </c>
      <c r="I13" s="7">
        <f>(C13-1)*100/($C$4-1)</f>
        <v>92.721989447225411</v>
      </c>
      <c r="J13" s="6">
        <v>3.731096</v>
      </c>
      <c r="K13" s="1">
        <v>10</v>
      </c>
      <c r="L13" s="6">
        <v>3.9479769999999998</v>
      </c>
      <c r="M13" s="1">
        <v>15</v>
      </c>
      <c r="N13" s="6">
        <v>3.6263269999999999</v>
      </c>
      <c r="O13" s="1">
        <v>13</v>
      </c>
      <c r="P13" s="6">
        <v>3.9318010000000001</v>
      </c>
      <c r="Q13" s="1">
        <v>11</v>
      </c>
      <c r="R13" s="6">
        <v>3.9977520000000002</v>
      </c>
      <c r="S13" s="1">
        <v>10</v>
      </c>
      <c r="T13" s="6">
        <v>4.1916120000000001</v>
      </c>
      <c r="U13" s="1">
        <v>10</v>
      </c>
    </row>
    <row r="14" spans="1:21" x14ac:dyDescent="0.2">
      <c r="A14" s="1" t="s">
        <v>289</v>
      </c>
      <c r="B14" s="1" t="s">
        <v>288</v>
      </c>
      <c r="C14" s="9">
        <v>3.8903919999999999</v>
      </c>
      <c r="D14" s="6">
        <v>3.7040570000000002</v>
      </c>
      <c r="E14" s="6">
        <v>4.076727</v>
      </c>
      <c r="F14" s="8">
        <v>11</v>
      </c>
      <c r="G14" s="1">
        <v>3</v>
      </c>
      <c r="H14" s="1">
        <v>19</v>
      </c>
      <c r="I14" s="7">
        <f>(C14-1)*100/($C$4-1)</f>
        <v>92.468487398318459</v>
      </c>
      <c r="J14" s="6">
        <v>3.7703159999999998</v>
      </c>
      <c r="K14" s="1">
        <v>9</v>
      </c>
      <c r="L14" s="6">
        <v>4.0543480000000001</v>
      </c>
      <c r="M14" s="1">
        <v>11</v>
      </c>
      <c r="N14" s="6">
        <v>3.7118579999999999</v>
      </c>
      <c r="O14" s="1">
        <v>7</v>
      </c>
      <c r="P14" s="6">
        <v>4.0999999999999996</v>
      </c>
      <c r="Q14" s="1">
        <v>3</v>
      </c>
      <c r="R14" s="6">
        <v>3.9675889999999998</v>
      </c>
      <c r="S14" s="1">
        <v>11</v>
      </c>
      <c r="T14" s="6">
        <v>3.785771</v>
      </c>
      <c r="U14" s="1">
        <v>31</v>
      </c>
    </row>
    <row r="15" spans="1:21" x14ac:dyDescent="0.2">
      <c r="A15" s="1" t="s">
        <v>287</v>
      </c>
      <c r="B15" s="1" t="s">
        <v>286</v>
      </c>
      <c r="C15" s="9">
        <v>3.851483</v>
      </c>
      <c r="D15" s="6">
        <v>3.7731690000000002</v>
      </c>
      <c r="E15" s="6">
        <v>3.9297979999999999</v>
      </c>
      <c r="F15" s="8">
        <v>12</v>
      </c>
      <c r="G15" s="1">
        <v>10</v>
      </c>
      <c r="H15" s="1">
        <v>17</v>
      </c>
      <c r="I15" s="7">
        <f>(C15-1)*100/($C$4-1)</f>
        <v>91.223723236162883</v>
      </c>
      <c r="J15" s="6">
        <v>3.6376970000000002</v>
      </c>
      <c r="K15" s="1">
        <v>14</v>
      </c>
      <c r="L15" s="6">
        <v>3.9616400000000001</v>
      </c>
      <c r="M15" s="1">
        <v>14</v>
      </c>
      <c r="N15" s="6">
        <v>3.7337379999999998</v>
      </c>
      <c r="O15" s="1">
        <v>5</v>
      </c>
      <c r="P15" s="6">
        <v>3.8189069999999998</v>
      </c>
      <c r="Q15" s="1">
        <v>14</v>
      </c>
      <c r="R15" s="6">
        <v>3.967489</v>
      </c>
      <c r="S15" s="1">
        <v>12</v>
      </c>
      <c r="T15" s="6">
        <v>4.0194390000000002</v>
      </c>
      <c r="U15" s="1">
        <v>23</v>
      </c>
    </row>
    <row r="16" spans="1:21" x14ac:dyDescent="0.2">
      <c r="A16" s="1" t="s">
        <v>285</v>
      </c>
      <c r="B16" s="1" t="s">
        <v>284</v>
      </c>
      <c r="C16" s="9">
        <v>3.85006</v>
      </c>
      <c r="D16" s="6">
        <v>3.6782949999999999</v>
      </c>
      <c r="E16" s="6">
        <v>4.0218230000000004</v>
      </c>
      <c r="F16" s="8">
        <v>13</v>
      </c>
      <c r="G16" s="1">
        <v>5</v>
      </c>
      <c r="H16" s="1">
        <v>22</v>
      </c>
      <c r="I16" s="7">
        <f>(C16-1)*100/($C$4-1)</f>
        <v>91.178199079727435</v>
      </c>
      <c r="J16" s="6">
        <v>3.6791610000000001</v>
      </c>
      <c r="K16" s="1">
        <v>12</v>
      </c>
      <c r="L16" s="6">
        <v>4.1262280000000002</v>
      </c>
      <c r="M16" s="1">
        <v>5</v>
      </c>
      <c r="N16" s="6">
        <v>3.390352</v>
      </c>
      <c r="O16" s="1">
        <v>29</v>
      </c>
      <c r="P16" s="6">
        <v>3.901786</v>
      </c>
      <c r="Q16" s="1">
        <v>12</v>
      </c>
      <c r="R16" s="6">
        <v>3.8184520000000002</v>
      </c>
      <c r="S16" s="1">
        <v>17</v>
      </c>
      <c r="T16" s="6">
        <v>4.2629590000000004</v>
      </c>
      <c r="U16" s="1">
        <v>5</v>
      </c>
    </row>
    <row r="17" spans="1:21" x14ac:dyDescent="0.2">
      <c r="A17" s="1" t="s">
        <v>283</v>
      </c>
      <c r="B17" s="1" t="s">
        <v>282</v>
      </c>
      <c r="C17" s="9">
        <v>3.846479</v>
      </c>
      <c r="D17" s="6">
        <v>3.7573470000000002</v>
      </c>
      <c r="E17" s="6">
        <v>3.9356110000000002</v>
      </c>
      <c r="F17" s="8">
        <v>14</v>
      </c>
      <c r="G17" s="1">
        <v>8</v>
      </c>
      <c r="H17" s="1">
        <v>17</v>
      </c>
      <c r="I17" s="7">
        <f>(C17-1)*100/($C$4-1)</f>
        <v>91.063636884228202</v>
      </c>
      <c r="J17" s="6">
        <v>3.5789569999999999</v>
      </c>
      <c r="K17" s="1">
        <v>17</v>
      </c>
      <c r="L17" s="6">
        <v>3.9894959999999999</v>
      </c>
      <c r="M17" s="1">
        <v>12</v>
      </c>
      <c r="N17" s="6">
        <v>3.5465800000000001</v>
      </c>
      <c r="O17" s="1">
        <v>18</v>
      </c>
      <c r="P17" s="6">
        <v>3.8459560000000002</v>
      </c>
      <c r="Q17" s="1">
        <v>13</v>
      </c>
      <c r="R17" s="6">
        <v>3.8563770000000002</v>
      </c>
      <c r="S17" s="1">
        <v>14</v>
      </c>
      <c r="T17" s="6">
        <v>4.3058730000000001</v>
      </c>
      <c r="U17" s="1">
        <v>3</v>
      </c>
    </row>
    <row r="18" spans="1:21" x14ac:dyDescent="0.2">
      <c r="A18" s="1" t="s">
        <v>281</v>
      </c>
      <c r="B18" s="1" t="s">
        <v>280</v>
      </c>
      <c r="C18" s="9">
        <v>3.8222170000000002</v>
      </c>
      <c r="D18" s="6">
        <v>3.486634</v>
      </c>
      <c r="E18" s="6">
        <v>4.1577989999999998</v>
      </c>
      <c r="F18" s="8">
        <v>15</v>
      </c>
      <c r="G18" s="1">
        <v>1</v>
      </c>
      <c r="H18" s="1">
        <v>29</v>
      </c>
      <c r="I18" s="7">
        <f>(C18-1)*100/($C$4-1)</f>
        <v>90.28745481575514</v>
      </c>
      <c r="J18" s="6">
        <v>3.5384609999999999</v>
      </c>
      <c r="K18" s="1">
        <v>18</v>
      </c>
      <c r="L18" s="6">
        <v>3.7855029999999998</v>
      </c>
      <c r="M18" s="1">
        <v>20</v>
      </c>
      <c r="N18" s="6">
        <v>3.7021700000000002</v>
      </c>
      <c r="O18" s="1">
        <v>9</v>
      </c>
      <c r="P18" s="6">
        <v>3.817539</v>
      </c>
      <c r="Q18" s="1">
        <v>15</v>
      </c>
      <c r="R18" s="6">
        <v>3.9084479999999999</v>
      </c>
      <c r="S18" s="1">
        <v>13</v>
      </c>
      <c r="T18" s="6">
        <v>4.1874599999999997</v>
      </c>
      <c r="U18" s="1">
        <v>11</v>
      </c>
    </row>
    <row r="19" spans="1:21" x14ac:dyDescent="0.2">
      <c r="A19" s="1" t="s">
        <v>279</v>
      </c>
      <c r="B19" s="1" t="s">
        <v>278</v>
      </c>
      <c r="C19" s="9">
        <v>3.803137</v>
      </c>
      <c r="D19" s="6">
        <v>3.660142</v>
      </c>
      <c r="E19" s="6">
        <v>3.9461330000000001</v>
      </c>
      <c r="F19" s="8">
        <v>16</v>
      </c>
      <c r="G19" s="1">
        <v>8</v>
      </c>
      <c r="H19" s="1">
        <v>24</v>
      </c>
      <c r="I19" s="7">
        <f>(C19-1)*100/($C$4-1)</f>
        <v>89.677053617730806</v>
      </c>
      <c r="J19" s="6">
        <v>3.8790249999999999</v>
      </c>
      <c r="K19" s="1">
        <v>5</v>
      </c>
      <c r="L19" s="6">
        <v>3.9781780000000002</v>
      </c>
      <c r="M19" s="1">
        <v>13</v>
      </c>
      <c r="N19" s="6">
        <v>3.4605229999999998</v>
      </c>
      <c r="O19" s="1">
        <v>24</v>
      </c>
      <c r="P19" s="6">
        <v>3.7126389999999998</v>
      </c>
      <c r="Q19" s="1">
        <v>18</v>
      </c>
      <c r="R19" s="6">
        <v>3.8338510000000001</v>
      </c>
      <c r="S19" s="1">
        <v>15</v>
      </c>
      <c r="T19" s="6">
        <v>4.0133479999999997</v>
      </c>
      <c r="U19" s="1">
        <v>24</v>
      </c>
    </row>
    <row r="20" spans="1:21" x14ac:dyDescent="0.2">
      <c r="A20" s="1" t="s">
        <v>277</v>
      </c>
      <c r="B20" s="1" t="s">
        <v>276</v>
      </c>
      <c r="C20" s="9">
        <v>3.7784399999999998</v>
      </c>
      <c r="D20" s="6">
        <v>3.7033079999999998</v>
      </c>
      <c r="E20" s="6">
        <v>3.8535720000000002</v>
      </c>
      <c r="F20" s="8">
        <v>17</v>
      </c>
      <c r="G20" s="1">
        <v>12</v>
      </c>
      <c r="H20" s="1">
        <v>19</v>
      </c>
      <c r="I20" s="7">
        <f>(C20-1)*100/($C$4-1)</f>
        <v>88.886955169743032</v>
      </c>
      <c r="J20" s="6">
        <v>3.6147680000000002</v>
      </c>
      <c r="K20" s="1">
        <v>15</v>
      </c>
      <c r="L20" s="6">
        <v>3.8370320000000002</v>
      </c>
      <c r="M20" s="1">
        <v>17</v>
      </c>
      <c r="N20" s="6">
        <v>3.5920100000000001</v>
      </c>
      <c r="O20" s="1">
        <v>15</v>
      </c>
      <c r="P20" s="6">
        <v>3.74139</v>
      </c>
      <c r="Q20" s="1">
        <v>17</v>
      </c>
      <c r="R20" s="6">
        <v>3.8129569999999999</v>
      </c>
      <c r="S20" s="1">
        <v>18</v>
      </c>
      <c r="T20" s="6">
        <v>4.0968450000000001</v>
      </c>
      <c r="U20" s="1">
        <v>13</v>
      </c>
    </row>
    <row r="21" spans="1:21" x14ac:dyDescent="0.2">
      <c r="A21" s="1" t="s">
        <v>275</v>
      </c>
      <c r="B21" s="1" t="s">
        <v>274</v>
      </c>
      <c r="C21" s="9">
        <v>3.7265000000000001</v>
      </c>
      <c r="D21" s="6">
        <v>3.6332080000000002</v>
      </c>
      <c r="E21" s="6">
        <v>3.8197920000000001</v>
      </c>
      <c r="F21" s="8">
        <v>18</v>
      </c>
      <c r="G21" s="1">
        <v>16</v>
      </c>
      <c r="H21" s="1">
        <v>24</v>
      </c>
      <c r="I21" s="7">
        <f>(C21-1)*100/($C$4-1)</f>
        <v>87.225307464010172</v>
      </c>
      <c r="J21" s="6">
        <v>3.5963970000000001</v>
      </c>
      <c r="K21" s="1">
        <v>16</v>
      </c>
      <c r="L21" s="6">
        <v>3.8273739999999998</v>
      </c>
      <c r="M21" s="1">
        <v>18</v>
      </c>
      <c r="N21" s="6">
        <v>3.39703</v>
      </c>
      <c r="O21" s="1">
        <v>28</v>
      </c>
      <c r="P21" s="6">
        <v>3.7489919999999999</v>
      </c>
      <c r="Q21" s="1">
        <v>16</v>
      </c>
      <c r="R21" s="6">
        <v>3.7879239999999998</v>
      </c>
      <c r="S21" s="1">
        <v>19</v>
      </c>
      <c r="T21" s="6">
        <v>4.048654</v>
      </c>
      <c r="U21" s="1">
        <v>17</v>
      </c>
    </row>
    <row r="22" spans="1:21" x14ac:dyDescent="0.2">
      <c r="A22" s="1" t="s">
        <v>273</v>
      </c>
      <c r="B22" s="1" t="s">
        <v>272</v>
      </c>
      <c r="C22" s="9">
        <v>3.7071200000000002</v>
      </c>
      <c r="D22" s="6">
        <v>3.5983360000000002</v>
      </c>
      <c r="E22" s="6">
        <v>3.8159040000000002</v>
      </c>
      <c r="F22" s="8">
        <v>19</v>
      </c>
      <c r="G22" s="1">
        <v>16</v>
      </c>
      <c r="H22" s="1">
        <v>24</v>
      </c>
      <c r="I22" s="7">
        <f>(C22-1)*100/($C$4-1)</f>
        <v>86.605308762872269</v>
      </c>
      <c r="J22" s="6">
        <v>3.4181879999999998</v>
      </c>
      <c r="K22" s="1">
        <v>22</v>
      </c>
      <c r="L22" s="6">
        <v>3.7671239999999999</v>
      </c>
      <c r="M22" s="1">
        <v>21</v>
      </c>
      <c r="N22" s="6">
        <v>3.5764330000000002</v>
      </c>
      <c r="O22" s="1">
        <v>16</v>
      </c>
      <c r="P22" s="6">
        <v>3.6823000000000001</v>
      </c>
      <c r="Q22" s="1">
        <v>20</v>
      </c>
      <c r="R22" s="6">
        <v>3.7186659999999998</v>
      </c>
      <c r="S22" s="1">
        <v>21</v>
      </c>
      <c r="T22" s="6">
        <v>4.0958579999999998</v>
      </c>
      <c r="U22" s="1">
        <v>14</v>
      </c>
    </row>
    <row r="23" spans="1:21" x14ac:dyDescent="0.2">
      <c r="A23" s="1" t="s">
        <v>271</v>
      </c>
      <c r="B23" s="1" t="s">
        <v>270</v>
      </c>
      <c r="C23" s="9">
        <v>3.6997249999999999</v>
      </c>
      <c r="D23" s="6">
        <v>3.597836</v>
      </c>
      <c r="E23" s="6">
        <v>3.801615</v>
      </c>
      <c r="F23" s="8">
        <v>20</v>
      </c>
      <c r="G23" s="1">
        <v>17</v>
      </c>
      <c r="H23" s="1">
        <v>24</v>
      </c>
      <c r="I23" s="7">
        <f>(C23-1)*100/($C$4-1)</f>
        <v>86.368730311122249</v>
      </c>
      <c r="J23" s="6">
        <v>3.3974850000000001</v>
      </c>
      <c r="K23" s="1">
        <v>25</v>
      </c>
      <c r="L23" s="6">
        <v>3.7369279999999998</v>
      </c>
      <c r="M23" s="1">
        <v>24</v>
      </c>
      <c r="N23" s="6">
        <v>3.677127</v>
      </c>
      <c r="O23" s="1">
        <v>10</v>
      </c>
      <c r="P23" s="6">
        <v>3.693794</v>
      </c>
      <c r="Q23" s="1">
        <v>19</v>
      </c>
      <c r="R23" s="6">
        <v>3.6726930000000002</v>
      </c>
      <c r="S23" s="1">
        <v>23</v>
      </c>
      <c r="T23" s="6">
        <v>4.0204300000000002</v>
      </c>
      <c r="U23" s="1">
        <v>22</v>
      </c>
    </row>
    <row r="24" spans="1:21" x14ac:dyDescent="0.2">
      <c r="A24" s="1" t="s">
        <v>269</v>
      </c>
      <c r="B24" s="1" t="s">
        <v>268</v>
      </c>
      <c r="C24" s="9">
        <v>3.6954289999999999</v>
      </c>
      <c r="D24" s="6">
        <v>3.6350730000000002</v>
      </c>
      <c r="E24" s="6">
        <v>3.7557839999999998</v>
      </c>
      <c r="F24" s="8">
        <v>21</v>
      </c>
      <c r="G24" s="1">
        <v>18</v>
      </c>
      <c r="H24" s="1">
        <v>24</v>
      </c>
      <c r="I24" s="7">
        <f>(C24-1)*100/($C$4-1)</f>
        <v>86.231294066535639</v>
      </c>
      <c r="J24" s="6">
        <v>3.4171960000000001</v>
      </c>
      <c r="K24" s="1">
        <v>23</v>
      </c>
      <c r="L24" s="6">
        <v>3.7400410000000002</v>
      </c>
      <c r="M24" s="1">
        <v>22</v>
      </c>
      <c r="N24" s="6">
        <v>3.6654770000000001</v>
      </c>
      <c r="O24" s="1">
        <v>12</v>
      </c>
      <c r="P24" s="6">
        <v>3.6478109999999999</v>
      </c>
      <c r="Q24" s="1">
        <v>22</v>
      </c>
      <c r="R24" s="6">
        <v>3.679659</v>
      </c>
      <c r="S24" s="1">
        <v>22</v>
      </c>
      <c r="T24" s="6">
        <v>4.0245769999999998</v>
      </c>
      <c r="U24" s="1">
        <v>21</v>
      </c>
    </row>
    <row r="25" spans="1:21" x14ac:dyDescent="0.2">
      <c r="A25" s="1" t="s">
        <v>267</v>
      </c>
      <c r="B25" s="1" t="s">
        <v>266</v>
      </c>
      <c r="C25" s="9">
        <v>3.6844429999999999</v>
      </c>
      <c r="D25" s="6">
        <v>3.3603939999999999</v>
      </c>
      <c r="E25" s="6">
        <v>4.0084929999999996</v>
      </c>
      <c r="F25" s="8">
        <v>22</v>
      </c>
      <c r="G25" s="1">
        <v>7</v>
      </c>
      <c r="H25" s="1">
        <v>32</v>
      </c>
      <c r="I25" s="7">
        <f>(C25-1)*100/($C$4-1)</f>
        <v>85.879833502515993</v>
      </c>
      <c r="J25" s="6">
        <v>3.4615390000000001</v>
      </c>
      <c r="K25" s="1">
        <v>21</v>
      </c>
      <c r="L25" s="6">
        <v>3.8584179999999999</v>
      </c>
      <c r="M25" s="1">
        <v>16</v>
      </c>
      <c r="N25" s="6">
        <v>3.4947819999999998</v>
      </c>
      <c r="O25" s="1">
        <v>21</v>
      </c>
      <c r="P25" s="6">
        <v>3.5706519999999999</v>
      </c>
      <c r="Q25" s="1">
        <v>23</v>
      </c>
      <c r="R25" s="6">
        <v>3.670652</v>
      </c>
      <c r="S25" s="1">
        <v>24</v>
      </c>
      <c r="T25" s="6">
        <v>4.0861679999999998</v>
      </c>
      <c r="U25" s="1">
        <v>16</v>
      </c>
    </row>
    <row r="26" spans="1:21" x14ac:dyDescent="0.2">
      <c r="A26" s="1" t="s">
        <v>265</v>
      </c>
      <c r="B26" s="1" t="s">
        <v>264</v>
      </c>
      <c r="C26" s="9">
        <v>3.6713170000000002</v>
      </c>
      <c r="D26" s="6">
        <v>3.5208919999999999</v>
      </c>
      <c r="E26" s="6">
        <v>3.8217409999999998</v>
      </c>
      <c r="F26" s="8">
        <v>23</v>
      </c>
      <c r="G26" s="1">
        <v>16</v>
      </c>
      <c r="H26" s="1">
        <v>24</v>
      </c>
      <c r="I26" s="7">
        <f>(C26-1)*100/($C$4-1)</f>
        <v>85.459910749619382</v>
      </c>
      <c r="J26" s="6">
        <v>3.3466339999999999</v>
      </c>
      <c r="K26" s="1">
        <v>26</v>
      </c>
      <c r="L26" s="6">
        <v>3.7896730000000001</v>
      </c>
      <c r="M26" s="1">
        <v>19</v>
      </c>
      <c r="N26" s="6">
        <v>3.4997980000000002</v>
      </c>
      <c r="O26" s="1">
        <v>20</v>
      </c>
      <c r="P26" s="6">
        <v>3.5625149999999999</v>
      </c>
      <c r="Q26" s="1">
        <v>24</v>
      </c>
      <c r="R26" s="6">
        <v>3.831807</v>
      </c>
      <c r="S26" s="1">
        <v>16</v>
      </c>
      <c r="T26" s="6">
        <v>4.0330380000000003</v>
      </c>
      <c r="U26" s="1">
        <v>20</v>
      </c>
    </row>
    <row r="27" spans="1:21" x14ac:dyDescent="0.2">
      <c r="A27" s="1" t="s">
        <v>263</v>
      </c>
      <c r="B27" s="1" t="s">
        <v>262</v>
      </c>
      <c r="C27" s="9">
        <v>3.6707109999999998</v>
      </c>
      <c r="D27" s="6">
        <v>3.6139109999999999</v>
      </c>
      <c r="E27" s="6">
        <v>3.7275119999999999</v>
      </c>
      <c r="F27" s="8">
        <v>24</v>
      </c>
      <c r="G27" s="1">
        <v>18</v>
      </c>
      <c r="H27" s="1">
        <v>24</v>
      </c>
      <c r="I27" s="7">
        <f>(C27-1)*100/($C$4-1)</f>
        <v>85.44052379332993</v>
      </c>
      <c r="J27" s="6">
        <v>3.3434029999999999</v>
      </c>
      <c r="K27" s="1">
        <v>27</v>
      </c>
      <c r="L27" s="6">
        <v>3.7380469999999999</v>
      </c>
      <c r="M27" s="1">
        <v>23</v>
      </c>
      <c r="N27" s="6">
        <v>3.5343309999999999</v>
      </c>
      <c r="O27" s="1">
        <v>19</v>
      </c>
      <c r="P27" s="6">
        <v>3.6498270000000002</v>
      </c>
      <c r="Q27" s="1">
        <v>21</v>
      </c>
      <c r="R27" s="6">
        <v>3.7312959999999999</v>
      </c>
      <c r="S27" s="1">
        <v>20</v>
      </c>
      <c r="T27" s="6">
        <v>4.0474259999999997</v>
      </c>
      <c r="U27" s="1">
        <v>18</v>
      </c>
    </row>
    <row r="28" spans="1:21" x14ac:dyDescent="0.2">
      <c r="A28" s="1" t="s">
        <v>261</v>
      </c>
      <c r="B28" s="1" t="s">
        <v>260</v>
      </c>
      <c r="C28" s="9">
        <v>3.5200770000000001</v>
      </c>
      <c r="D28" s="6">
        <v>3.35968</v>
      </c>
      <c r="E28" s="6">
        <v>3.6804749999999999</v>
      </c>
      <c r="F28" s="8">
        <v>25</v>
      </c>
      <c r="G28" s="1">
        <v>23</v>
      </c>
      <c r="H28" s="1">
        <v>32</v>
      </c>
      <c r="I28" s="7">
        <f>(C28-1)*100/($C$4-1)</f>
        <v>80.621489513288225</v>
      </c>
      <c r="J28" s="6">
        <v>3.4</v>
      </c>
      <c r="K28" s="1">
        <v>24</v>
      </c>
      <c r="L28" s="6">
        <v>3.353723</v>
      </c>
      <c r="M28" s="1">
        <v>31</v>
      </c>
      <c r="N28" s="6">
        <v>3.4016090000000001</v>
      </c>
      <c r="O28" s="1">
        <v>27</v>
      </c>
      <c r="P28" s="6">
        <v>3.536864</v>
      </c>
      <c r="Q28" s="1">
        <v>25</v>
      </c>
      <c r="R28" s="6">
        <v>3.6496379999999999</v>
      </c>
      <c r="S28" s="1">
        <v>25</v>
      </c>
      <c r="T28" s="6">
        <v>3.7722470000000001</v>
      </c>
      <c r="U28" s="1">
        <v>33</v>
      </c>
    </row>
    <row r="29" spans="1:21" x14ac:dyDescent="0.2">
      <c r="A29" s="1" t="s">
        <v>259</v>
      </c>
      <c r="B29" s="1" t="s">
        <v>258</v>
      </c>
      <c r="C29" s="9">
        <v>3.5170170000000001</v>
      </c>
      <c r="D29" s="6">
        <v>3.4559540000000002</v>
      </c>
      <c r="E29" s="6">
        <v>3.5780810000000001</v>
      </c>
      <c r="F29" s="8">
        <v>26</v>
      </c>
      <c r="G29" s="1">
        <v>25</v>
      </c>
      <c r="H29" s="1">
        <v>29</v>
      </c>
      <c r="I29" s="7">
        <f>(C29-1)*100/($C$4-1)</f>
        <v>80.523594981529612</v>
      </c>
      <c r="J29" s="6">
        <v>3.2545329999999999</v>
      </c>
      <c r="K29" s="1">
        <v>30</v>
      </c>
      <c r="L29" s="6">
        <v>3.6139969999999999</v>
      </c>
      <c r="M29" s="1">
        <v>26</v>
      </c>
      <c r="N29" s="6">
        <v>3.4628369999999999</v>
      </c>
      <c r="O29" s="1">
        <v>23</v>
      </c>
      <c r="P29" s="6">
        <v>3.4716170000000002</v>
      </c>
      <c r="Q29" s="1">
        <v>28</v>
      </c>
      <c r="R29" s="6">
        <v>3.515504</v>
      </c>
      <c r="S29" s="1">
        <v>31</v>
      </c>
      <c r="T29" s="6">
        <v>3.7969149999999998</v>
      </c>
      <c r="U29" s="1">
        <v>30</v>
      </c>
    </row>
    <row r="30" spans="1:21" x14ac:dyDescent="0.2">
      <c r="A30" s="1" t="s">
        <v>257</v>
      </c>
      <c r="B30" s="1" t="s">
        <v>256</v>
      </c>
      <c r="C30" s="9">
        <v>3.5094630000000002</v>
      </c>
      <c r="D30" s="6">
        <v>3.3764729999999998</v>
      </c>
      <c r="E30" s="6">
        <v>3.6424539999999999</v>
      </c>
      <c r="F30" s="8">
        <v>27</v>
      </c>
      <c r="G30" s="1">
        <v>25</v>
      </c>
      <c r="H30" s="1">
        <v>32</v>
      </c>
      <c r="I30" s="7">
        <f>(C30-1)*100/($C$4-1)</f>
        <v>80.281929853129412</v>
      </c>
      <c r="J30" s="6">
        <v>3.1618719999999998</v>
      </c>
      <c r="K30" s="1">
        <v>32</v>
      </c>
      <c r="L30" s="6">
        <v>3.6183130000000001</v>
      </c>
      <c r="M30" s="1">
        <v>25</v>
      </c>
      <c r="N30" s="6">
        <v>3.379626</v>
      </c>
      <c r="O30" s="1">
        <v>30</v>
      </c>
      <c r="P30" s="6">
        <v>3.5187659999999998</v>
      </c>
      <c r="Q30" s="1">
        <v>26</v>
      </c>
      <c r="R30" s="6">
        <v>3.5361349999999998</v>
      </c>
      <c r="S30" s="1">
        <v>29</v>
      </c>
      <c r="T30" s="6">
        <v>3.8655460000000001</v>
      </c>
      <c r="U30" s="1">
        <v>27</v>
      </c>
    </row>
    <row r="31" spans="1:21" x14ac:dyDescent="0.2">
      <c r="A31" s="1" t="s">
        <v>255</v>
      </c>
      <c r="B31" s="1" t="s">
        <v>254</v>
      </c>
      <c r="C31" s="9">
        <v>3.502831</v>
      </c>
      <c r="D31" s="6">
        <v>3.3435700000000002</v>
      </c>
      <c r="E31" s="6">
        <v>3.662093</v>
      </c>
      <c r="F31" s="8">
        <v>28</v>
      </c>
      <c r="G31" s="1">
        <v>25</v>
      </c>
      <c r="H31" s="1">
        <v>32</v>
      </c>
      <c r="I31" s="7">
        <f>(C31-1)*100/($C$4-1)</f>
        <v>80.069761050964985</v>
      </c>
      <c r="J31" s="6">
        <v>3.1901679999999999</v>
      </c>
      <c r="K31" s="1">
        <v>31</v>
      </c>
      <c r="L31" s="6">
        <v>3.4202439999999998</v>
      </c>
      <c r="M31" s="1">
        <v>28</v>
      </c>
      <c r="N31" s="6">
        <v>3.429284</v>
      </c>
      <c r="O31" s="1">
        <v>25</v>
      </c>
      <c r="P31" s="6">
        <v>3.4845630000000001</v>
      </c>
      <c r="Q31" s="1">
        <v>27</v>
      </c>
      <c r="R31" s="6">
        <v>3.604355</v>
      </c>
      <c r="S31" s="1">
        <v>26</v>
      </c>
      <c r="T31" s="6">
        <v>3.8838979999999999</v>
      </c>
      <c r="U31" s="1">
        <v>26</v>
      </c>
    </row>
    <row r="32" spans="1:21" x14ac:dyDescent="0.2">
      <c r="A32" s="1" t="s">
        <v>253</v>
      </c>
      <c r="B32" s="1" t="s">
        <v>252</v>
      </c>
      <c r="C32" s="9">
        <v>3.4940419999999999</v>
      </c>
      <c r="D32" s="6">
        <v>3.3981150000000002</v>
      </c>
      <c r="E32" s="6">
        <v>3.589969</v>
      </c>
      <c r="F32" s="8">
        <v>29</v>
      </c>
      <c r="G32" s="1">
        <v>25</v>
      </c>
      <c r="H32" s="1">
        <v>31</v>
      </c>
      <c r="I32" s="7">
        <f>(C32-1)*100/($C$4-1)</f>
        <v>79.788586201413835</v>
      </c>
      <c r="J32" s="6">
        <v>3.281603</v>
      </c>
      <c r="K32" s="1">
        <v>29</v>
      </c>
      <c r="L32" s="6">
        <v>3.4289740000000002</v>
      </c>
      <c r="M32" s="1">
        <v>27</v>
      </c>
      <c r="N32" s="6">
        <v>3.4020619999999999</v>
      </c>
      <c r="O32" s="1">
        <v>26</v>
      </c>
      <c r="P32" s="6">
        <v>3.4523440000000001</v>
      </c>
      <c r="Q32" s="1">
        <v>30</v>
      </c>
      <c r="R32" s="6">
        <v>3.5386169999999999</v>
      </c>
      <c r="S32" s="1">
        <v>28</v>
      </c>
      <c r="T32" s="6">
        <v>3.8580109999999999</v>
      </c>
      <c r="U32" s="1">
        <v>28</v>
      </c>
    </row>
    <row r="33" spans="1:21" x14ac:dyDescent="0.2">
      <c r="A33" s="1" t="s">
        <v>251</v>
      </c>
      <c r="B33" s="1" t="s">
        <v>250</v>
      </c>
      <c r="C33" s="9">
        <v>3.431324</v>
      </c>
      <c r="D33" s="6">
        <v>3.270896</v>
      </c>
      <c r="E33" s="6">
        <v>3.5917520000000001</v>
      </c>
      <c r="F33" s="8">
        <v>30</v>
      </c>
      <c r="G33" s="1">
        <v>25</v>
      </c>
      <c r="H33" s="1">
        <v>34</v>
      </c>
      <c r="I33" s="7">
        <f>(C33-1)*100/($C$4-1)</f>
        <v>77.782132200486728</v>
      </c>
      <c r="J33" s="6">
        <v>3.2962959999999999</v>
      </c>
      <c r="K33" s="1">
        <v>28</v>
      </c>
      <c r="L33" s="6">
        <v>3.0953210000000002</v>
      </c>
      <c r="M33" s="1">
        <v>42</v>
      </c>
      <c r="N33" s="6">
        <v>3.473182</v>
      </c>
      <c r="O33" s="1">
        <v>22</v>
      </c>
      <c r="P33" s="6">
        <v>3.2976079999999999</v>
      </c>
      <c r="Q33" s="1">
        <v>32</v>
      </c>
      <c r="R33" s="6">
        <v>3.3231820000000001</v>
      </c>
      <c r="S33" s="1">
        <v>37</v>
      </c>
      <c r="T33" s="6">
        <v>4.0374720000000002</v>
      </c>
      <c r="U33" s="1">
        <v>19</v>
      </c>
    </row>
    <row r="34" spans="1:21" x14ac:dyDescent="0.2">
      <c r="A34" s="1" t="s">
        <v>249</v>
      </c>
      <c r="B34" s="1" t="s">
        <v>248</v>
      </c>
      <c r="C34" s="9">
        <v>3.4203399999999999</v>
      </c>
      <c r="D34" s="6">
        <v>3.1718820000000001</v>
      </c>
      <c r="E34" s="6">
        <v>3.6687979999999998</v>
      </c>
      <c r="F34" s="8">
        <v>31</v>
      </c>
      <c r="G34" s="1">
        <v>25</v>
      </c>
      <c r="H34" s="1">
        <v>39</v>
      </c>
      <c r="I34" s="7">
        <f>(C34-1)*100/($C$4-1)</f>
        <v>77.430735619821149</v>
      </c>
      <c r="J34" s="6">
        <v>3.4665759999999999</v>
      </c>
      <c r="K34" s="1">
        <v>20</v>
      </c>
      <c r="L34" s="6">
        <v>3.4195769999999999</v>
      </c>
      <c r="M34" s="1">
        <v>29</v>
      </c>
      <c r="N34" s="6">
        <v>3.2721360000000002</v>
      </c>
      <c r="O34" s="1">
        <v>33</v>
      </c>
      <c r="P34" s="6">
        <v>3.2508080000000001</v>
      </c>
      <c r="Q34" s="1">
        <v>34</v>
      </c>
      <c r="R34" s="6">
        <v>3.5808930000000001</v>
      </c>
      <c r="S34" s="1">
        <v>27</v>
      </c>
      <c r="T34" s="6">
        <v>3.5536810000000001</v>
      </c>
      <c r="U34" s="1">
        <v>48</v>
      </c>
    </row>
    <row r="35" spans="1:21" x14ac:dyDescent="0.2">
      <c r="A35" s="1" t="s">
        <v>247</v>
      </c>
      <c r="B35" s="1" t="s">
        <v>246</v>
      </c>
      <c r="C35" s="9">
        <v>3.3948939999999999</v>
      </c>
      <c r="D35" s="6">
        <v>3.1964109999999999</v>
      </c>
      <c r="E35" s="6">
        <v>3.5933760000000001</v>
      </c>
      <c r="F35" s="8">
        <v>32</v>
      </c>
      <c r="G35" s="1">
        <v>25</v>
      </c>
      <c r="H35" s="1">
        <v>36</v>
      </c>
      <c r="I35" s="7">
        <f>(C35-1)*100/($C$4-1)</f>
        <v>76.61667540572644</v>
      </c>
      <c r="J35" s="6">
        <v>3.5333329999999998</v>
      </c>
      <c r="K35" s="1">
        <v>19</v>
      </c>
      <c r="L35" s="6">
        <v>3.3904269999999999</v>
      </c>
      <c r="M35" s="1">
        <v>30</v>
      </c>
      <c r="N35" s="6">
        <v>3.0058120000000002</v>
      </c>
      <c r="O35" s="1">
        <v>47</v>
      </c>
      <c r="P35" s="6">
        <v>3.4673500000000002</v>
      </c>
      <c r="Q35" s="1">
        <v>29</v>
      </c>
      <c r="R35" s="6">
        <v>3.3904269999999999</v>
      </c>
      <c r="S35" s="1">
        <v>35</v>
      </c>
      <c r="T35" s="6">
        <v>3.621197</v>
      </c>
      <c r="U35" s="1">
        <v>40</v>
      </c>
    </row>
    <row r="36" spans="1:21" x14ac:dyDescent="0.2">
      <c r="A36" s="1" t="s">
        <v>245</v>
      </c>
      <c r="B36" s="1" t="s">
        <v>244</v>
      </c>
      <c r="C36" s="9">
        <v>3.3214079999999999</v>
      </c>
      <c r="D36" s="6">
        <v>3.0495410000000001</v>
      </c>
      <c r="E36" s="6">
        <v>3.5932750000000002</v>
      </c>
      <c r="F36" s="8">
        <v>33</v>
      </c>
      <c r="G36" s="1">
        <v>25</v>
      </c>
      <c r="H36" s="1">
        <v>48</v>
      </c>
      <c r="I36" s="7">
        <f>(C36-1)*100/($C$4-1)</f>
        <v>74.265735026375538</v>
      </c>
      <c r="J36" s="6">
        <v>3.1151789999999999</v>
      </c>
      <c r="K36" s="1">
        <v>34</v>
      </c>
      <c r="L36" s="6">
        <v>3.2272319999999999</v>
      </c>
      <c r="M36" s="1">
        <v>34</v>
      </c>
      <c r="N36" s="6">
        <v>2.875</v>
      </c>
      <c r="O36" s="1">
        <v>64</v>
      </c>
      <c r="P36" s="6">
        <v>3.25</v>
      </c>
      <c r="Q36" s="1">
        <v>35</v>
      </c>
      <c r="R36" s="6">
        <v>3.5</v>
      </c>
      <c r="S36" s="1">
        <v>32</v>
      </c>
      <c r="T36" s="6">
        <v>3.9954459999999998</v>
      </c>
      <c r="U36" s="1">
        <v>25</v>
      </c>
    </row>
    <row r="37" spans="1:21" x14ac:dyDescent="0.2">
      <c r="A37" s="1" t="s">
        <v>243</v>
      </c>
      <c r="B37" s="1" t="s">
        <v>242</v>
      </c>
      <c r="C37" s="9">
        <v>3.2858890000000001</v>
      </c>
      <c r="D37" s="6">
        <v>3.049077</v>
      </c>
      <c r="E37" s="6">
        <v>3.5226999999999999</v>
      </c>
      <c r="F37" s="8">
        <v>34</v>
      </c>
      <c r="G37" s="1">
        <v>25</v>
      </c>
      <c r="H37" s="1">
        <v>48</v>
      </c>
      <c r="I37" s="7">
        <f>(C37-1)*100/($C$4-1)</f>
        <v>73.129422649403537</v>
      </c>
      <c r="J37" s="6">
        <v>3.052851</v>
      </c>
      <c r="K37" s="1">
        <v>38</v>
      </c>
      <c r="L37" s="6">
        <v>3.237784</v>
      </c>
      <c r="M37" s="1">
        <v>33</v>
      </c>
      <c r="N37" s="6">
        <v>3.3446560000000001</v>
      </c>
      <c r="O37" s="1">
        <v>31</v>
      </c>
      <c r="P37" s="6">
        <v>3.2523420000000001</v>
      </c>
      <c r="Q37" s="1">
        <v>33</v>
      </c>
      <c r="R37" s="6">
        <v>3.2023419999999998</v>
      </c>
      <c r="S37" s="1">
        <v>44</v>
      </c>
      <c r="T37" s="6">
        <v>3.6025049999999998</v>
      </c>
      <c r="U37" s="1">
        <v>43</v>
      </c>
    </row>
    <row r="38" spans="1:21" x14ac:dyDescent="0.2">
      <c r="A38" s="1" t="s">
        <v>241</v>
      </c>
      <c r="B38" s="1" t="s">
        <v>240</v>
      </c>
      <c r="C38" s="9">
        <v>3.2431019999999999</v>
      </c>
      <c r="D38" s="6">
        <v>2.8867349999999998</v>
      </c>
      <c r="E38" s="6">
        <v>3.5994679999999999</v>
      </c>
      <c r="F38" s="8">
        <v>35</v>
      </c>
      <c r="G38" s="1">
        <v>25</v>
      </c>
      <c r="H38" s="1">
        <v>62</v>
      </c>
      <c r="I38" s="7">
        <f>(C38-1)*100/($C$4-1)</f>
        <v>71.760594763666276</v>
      </c>
      <c r="J38" s="6">
        <v>3.0237959999999999</v>
      </c>
      <c r="K38" s="1">
        <v>39</v>
      </c>
      <c r="L38" s="6">
        <v>3.1651349999999998</v>
      </c>
      <c r="M38" s="1">
        <v>38</v>
      </c>
      <c r="N38" s="6">
        <v>3.2058819999999999</v>
      </c>
      <c r="O38" s="1">
        <v>36</v>
      </c>
      <c r="P38" s="6">
        <v>3.1651349999999998</v>
      </c>
      <c r="Q38" s="1">
        <v>37</v>
      </c>
      <c r="R38" s="6">
        <v>3.3563109999999998</v>
      </c>
      <c r="S38" s="1">
        <v>36</v>
      </c>
      <c r="T38" s="6">
        <v>3.5364170000000001</v>
      </c>
      <c r="U38" s="1">
        <v>51</v>
      </c>
    </row>
    <row r="39" spans="1:21" x14ac:dyDescent="0.2">
      <c r="A39" s="1" t="s">
        <v>239</v>
      </c>
      <c r="B39" s="1" t="s">
        <v>238</v>
      </c>
      <c r="C39" s="9">
        <v>3.2094520000000002</v>
      </c>
      <c r="D39" s="6">
        <v>3.0252949999999998</v>
      </c>
      <c r="E39" s="6">
        <v>3.393608</v>
      </c>
      <c r="F39" s="8">
        <v>36</v>
      </c>
      <c r="G39" s="1">
        <v>33</v>
      </c>
      <c r="H39" s="1">
        <v>51</v>
      </c>
      <c r="I39" s="7">
        <f>(C39-1)*100/($C$4-1)</f>
        <v>70.684074831091948</v>
      </c>
      <c r="J39" s="6">
        <v>2.9739990000000001</v>
      </c>
      <c r="K39" s="1">
        <v>41</v>
      </c>
      <c r="L39" s="6">
        <v>3.2046679999999999</v>
      </c>
      <c r="M39" s="1">
        <v>36</v>
      </c>
      <c r="N39" s="6">
        <v>3.2513169999999998</v>
      </c>
      <c r="O39" s="1">
        <v>34</v>
      </c>
      <c r="P39" s="6">
        <v>3.0953740000000001</v>
      </c>
      <c r="Q39" s="1">
        <v>42</v>
      </c>
      <c r="R39" s="6">
        <v>3.1558229999999998</v>
      </c>
      <c r="S39" s="1">
        <v>48</v>
      </c>
      <c r="T39" s="6">
        <v>3.5608140000000001</v>
      </c>
      <c r="U39" s="1">
        <v>47</v>
      </c>
    </row>
    <row r="40" spans="1:21" x14ac:dyDescent="0.2">
      <c r="A40" s="1" t="s">
        <v>237</v>
      </c>
      <c r="B40" s="1" t="s">
        <v>236</v>
      </c>
      <c r="C40" s="9">
        <v>3.1778390000000001</v>
      </c>
      <c r="D40" s="6">
        <v>3.1028829999999998</v>
      </c>
      <c r="E40" s="6">
        <v>3.2527949999999999</v>
      </c>
      <c r="F40" s="8">
        <v>37</v>
      </c>
      <c r="G40" s="1">
        <v>35</v>
      </c>
      <c r="H40" s="1">
        <v>45</v>
      </c>
      <c r="I40" s="7">
        <f>(C40-1)*100/($C$4-1)</f>
        <v>69.672721944658889</v>
      </c>
      <c r="J40" s="6">
        <v>2.7882959999999999</v>
      </c>
      <c r="K40" s="1">
        <v>51</v>
      </c>
      <c r="L40" s="6">
        <v>3.2164009999999998</v>
      </c>
      <c r="M40" s="1">
        <v>35</v>
      </c>
      <c r="N40" s="6">
        <v>3.1022430000000001</v>
      </c>
      <c r="O40" s="1">
        <v>42</v>
      </c>
      <c r="P40" s="6">
        <v>2.994793</v>
      </c>
      <c r="Q40" s="1">
        <v>47</v>
      </c>
      <c r="R40" s="6">
        <v>3.2135189999999998</v>
      </c>
      <c r="S40" s="1">
        <v>42</v>
      </c>
      <c r="T40" s="6">
        <v>3.7559490000000002</v>
      </c>
      <c r="U40" s="1">
        <v>34</v>
      </c>
    </row>
    <row r="41" spans="1:21" x14ac:dyDescent="0.2">
      <c r="A41" s="1" t="s">
        <v>235</v>
      </c>
      <c r="B41" s="1" t="s">
        <v>234</v>
      </c>
      <c r="C41" s="9">
        <v>3.1761520000000001</v>
      </c>
      <c r="D41" s="6">
        <v>3.074522</v>
      </c>
      <c r="E41" s="6">
        <v>3.2777820000000002</v>
      </c>
      <c r="F41" s="8">
        <v>38</v>
      </c>
      <c r="G41" s="1">
        <v>35</v>
      </c>
      <c r="H41" s="1">
        <v>46</v>
      </c>
      <c r="I41" s="7">
        <f>(C41-1)*100/($C$4-1)</f>
        <v>69.618751985483456</v>
      </c>
      <c r="J41" s="6">
        <v>2.9585780000000002</v>
      </c>
      <c r="K41" s="1">
        <v>42</v>
      </c>
      <c r="L41" s="6">
        <v>3.0821390000000002</v>
      </c>
      <c r="M41" s="1">
        <v>44</v>
      </c>
      <c r="N41" s="6">
        <v>3.2117529999999999</v>
      </c>
      <c r="O41" s="1">
        <v>35</v>
      </c>
      <c r="P41" s="6">
        <v>2.9755129999999999</v>
      </c>
      <c r="Q41" s="1">
        <v>49</v>
      </c>
      <c r="R41" s="6">
        <v>3.177225</v>
      </c>
      <c r="S41" s="1">
        <v>45</v>
      </c>
      <c r="T41" s="6">
        <v>3.6268090000000002</v>
      </c>
      <c r="U41" s="1">
        <v>39</v>
      </c>
    </row>
    <row r="42" spans="1:21" x14ac:dyDescent="0.2">
      <c r="A42" s="1" t="s">
        <v>233</v>
      </c>
      <c r="B42" s="1" t="s">
        <v>232</v>
      </c>
      <c r="C42" s="9">
        <v>3.1738740000000001</v>
      </c>
      <c r="D42" s="6">
        <v>2.985217</v>
      </c>
      <c r="E42" s="6">
        <v>3.36253</v>
      </c>
      <c r="F42" s="8">
        <v>39</v>
      </c>
      <c r="G42" s="1">
        <v>33</v>
      </c>
      <c r="H42" s="1">
        <v>55</v>
      </c>
      <c r="I42" s="7">
        <f>(C42-1)*100/($C$4-1)</f>
        <v>69.545874945174262</v>
      </c>
      <c r="J42" s="6">
        <v>3.1092170000000001</v>
      </c>
      <c r="K42" s="1">
        <v>35</v>
      </c>
      <c r="L42" s="6">
        <v>3.181308</v>
      </c>
      <c r="M42" s="1">
        <v>37</v>
      </c>
      <c r="N42" s="6">
        <v>3.0609679999999999</v>
      </c>
      <c r="O42" s="1">
        <v>44</v>
      </c>
      <c r="P42" s="6">
        <v>3.004337</v>
      </c>
      <c r="Q42" s="1">
        <v>46</v>
      </c>
      <c r="R42" s="6">
        <v>3.2240739999999999</v>
      </c>
      <c r="S42" s="1">
        <v>41</v>
      </c>
      <c r="T42" s="6">
        <v>3.4735849999999999</v>
      </c>
      <c r="U42" s="1">
        <v>54</v>
      </c>
    </row>
    <row r="43" spans="1:21" x14ac:dyDescent="0.2">
      <c r="A43" s="1" t="s">
        <v>231</v>
      </c>
      <c r="B43" s="1" t="s">
        <v>230</v>
      </c>
      <c r="C43" s="9">
        <v>3.1713710000000002</v>
      </c>
      <c r="D43" s="6">
        <v>3.0133860000000001</v>
      </c>
      <c r="E43" s="6">
        <v>3.3293550000000001</v>
      </c>
      <c r="F43" s="8">
        <v>40</v>
      </c>
      <c r="G43" s="1">
        <v>33</v>
      </c>
      <c r="H43" s="1">
        <v>52</v>
      </c>
      <c r="I43" s="7">
        <f>(C43-1)*100/($C$4-1)</f>
        <v>69.465799777529881</v>
      </c>
      <c r="J43" s="6">
        <v>2.8208730000000002</v>
      </c>
      <c r="K43" s="1">
        <v>47</v>
      </c>
      <c r="L43" s="6">
        <v>3.1363639999999999</v>
      </c>
      <c r="M43" s="1">
        <v>40</v>
      </c>
      <c r="N43" s="6">
        <v>2.9938020000000001</v>
      </c>
      <c r="O43" s="1">
        <v>52</v>
      </c>
      <c r="P43" s="6">
        <v>3.183173</v>
      </c>
      <c r="Q43" s="1">
        <v>36</v>
      </c>
      <c r="R43" s="6">
        <v>3.5166080000000002</v>
      </c>
      <c r="S43" s="1">
        <v>30</v>
      </c>
      <c r="T43" s="6">
        <v>3.4054959999999999</v>
      </c>
      <c r="U43" s="1">
        <v>61</v>
      </c>
    </row>
    <row r="44" spans="1:21" x14ac:dyDescent="0.2">
      <c r="A44" s="1" t="s">
        <v>229</v>
      </c>
      <c r="B44" s="1" t="s">
        <v>228</v>
      </c>
      <c r="C44" s="9">
        <v>3.168596</v>
      </c>
      <c r="D44" s="6">
        <v>2.8980419999999998</v>
      </c>
      <c r="E44" s="6">
        <v>3.4391500000000002</v>
      </c>
      <c r="F44" s="8">
        <v>41</v>
      </c>
      <c r="G44" s="1">
        <v>30</v>
      </c>
      <c r="H44" s="1">
        <v>61</v>
      </c>
      <c r="I44" s="7">
        <f>(C44-1)*100/($C$4-1)</f>
        <v>69.377022873729175</v>
      </c>
      <c r="J44" s="6">
        <v>3.125</v>
      </c>
      <c r="K44" s="1">
        <v>33</v>
      </c>
      <c r="L44" s="6">
        <v>2.875</v>
      </c>
      <c r="M44" s="1">
        <v>54</v>
      </c>
      <c r="N44" s="6">
        <v>2.875</v>
      </c>
      <c r="O44" s="1">
        <v>65</v>
      </c>
      <c r="P44" s="6">
        <v>3.125</v>
      </c>
      <c r="Q44" s="1">
        <v>40</v>
      </c>
      <c r="R44" s="6">
        <v>3.25</v>
      </c>
      <c r="S44" s="1">
        <v>40</v>
      </c>
      <c r="T44" s="6">
        <v>3.75</v>
      </c>
      <c r="U44" s="1">
        <v>35</v>
      </c>
    </row>
    <row r="45" spans="1:21" x14ac:dyDescent="0.2">
      <c r="A45" s="1" t="s">
        <v>227</v>
      </c>
      <c r="B45" s="1" t="s">
        <v>226</v>
      </c>
      <c r="C45" s="9">
        <v>3.162318</v>
      </c>
      <c r="D45" s="6">
        <v>2.9812539999999998</v>
      </c>
      <c r="E45" s="6">
        <v>3.3433809999999999</v>
      </c>
      <c r="F45" s="8">
        <v>42</v>
      </c>
      <c r="G45" s="1">
        <v>33</v>
      </c>
      <c r="H45" s="1">
        <v>56</v>
      </c>
      <c r="I45" s="7">
        <f>(C45-1)*100/($C$4-1)</f>
        <v>69.176179125238775</v>
      </c>
      <c r="J45" s="6">
        <v>3.058824</v>
      </c>
      <c r="K45" s="1">
        <v>37</v>
      </c>
      <c r="L45" s="6">
        <v>3.3464900000000002</v>
      </c>
      <c r="M45" s="1">
        <v>32</v>
      </c>
      <c r="N45" s="6">
        <v>2.9464899999999998</v>
      </c>
      <c r="O45" s="1">
        <v>58</v>
      </c>
      <c r="P45" s="6">
        <v>2.9178860000000002</v>
      </c>
      <c r="Q45" s="1">
        <v>55</v>
      </c>
      <c r="R45" s="6">
        <v>3.2035999999999998</v>
      </c>
      <c r="S45" s="1">
        <v>43</v>
      </c>
      <c r="T45" s="6">
        <v>3.5432100000000002</v>
      </c>
      <c r="U45" s="1">
        <v>50</v>
      </c>
    </row>
    <row r="46" spans="1:21" x14ac:dyDescent="0.2">
      <c r="A46" s="1" t="s">
        <v>225</v>
      </c>
      <c r="B46" s="1" t="s">
        <v>224</v>
      </c>
      <c r="C46" s="9">
        <v>3.1577350000000002</v>
      </c>
      <c r="D46" s="6">
        <v>2.98617</v>
      </c>
      <c r="E46" s="6">
        <v>3.3293010000000001</v>
      </c>
      <c r="F46" s="8">
        <v>43</v>
      </c>
      <c r="G46" s="1">
        <v>33</v>
      </c>
      <c r="H46" s="1">
        <v>54</v>
      </c>
      <c r="I46" s="7">
        <f>(C46-1)*100/($C$4-1)</f>
        <v>69.029561269340178</v>
      </c>
      <c r="J46" s="6">
        <v>2.8076919999999999</v>
      </c>
      <c r="K46" s="1">
        <v>49</v>
      </c>
      <c r="L46" s="6">
        <v>3.0961539999999999</v>
      </c>
      <c r="M46" s="1">
        <v>41</v>
      </c>
      <c r="N46" s="6">
        <v>3.1703299999999999</v>
      </c>
      <c r="O46" s="1">
        <v>37</v>
      </c>
      <c r="P46" s="6">
        <v>3.0052449999999999</v>
      </c>
      <c r="Q46" s="1">
        <v>45</v>
      </c>
      <c r="R46" s="6">
        <v>3.054945</v>
      </c>
      <c r="S46" s="1">
        <v>56</v>
      </c>
      <c r="T46" s="6">
        <v>3.785714</v>
      </c>
      <c r="U46" s="1">
        <v>32</v>
      </c>
    </row>
    <row r="47" spans="1:21" x14ac:dyDescent="0.2">
      <c r="A47" s="1" t="s">
        <v>223</v>
      </c>
      <c r="B47" s="1" t="s">
        <v>222</v>
      </c>
      <c r="C47" s="9">
        <v>3.1414979999999999</v>
      </c>
      <c r="D47" s="6">
        <v>2.9046129999999999</v>
      </c>
      <c r="E47" s="6">
        <v>3.3783820000000002</v>
      </c>
      <c r="F47" s="8">
        <v>44</v>
      </c>
      <c r="G47" s="1">
        <v>33</v>
      </c>
      <c r="H47" s="1">
        <v>61</v>
      </c>
      <c r="I47" s="7">
        <f>(C47-1)*100/($C$4-1)</f>
        <v>68.510112409155639</v>
      </c>
      <c r="J47" s="6">
        <v>2.954545</v>
      </c>
      <c r="K47" s="1">
        <v>43</v>
      </c>
      <c r="L47" s="6">
        <v>2.960744</v>
      </c>
      <c r="M47" s="1">
        <v>50</v>
      </c>
      <c r="N47" s="6">
        <v>3.0133749999999999</v>
      </c>
      <c r="O47" s="1">
        <v>45</v>
      </c>
      <c r="P47" s="6">
        <v>3.3419880000000002</v>
      </c>
      <c r="Q47" s="1">
        <v>31</v>
      </c>
      <c r="R47" s="6">
        <v>3.1655169999999999</v>
      </c>
      <c r="S47" s="1">
        <v>46</v>
      </c>
      <c r="T47" s="6">
        <v>3.400811</v>
      </c>
      <c r="U47" s="1">
        <v>63</v>
      </c>
    </row>
    <row r="48" spans="1:21" x14ac:dyDescent="0.2">
      <c r="A48" s="1" t="s">
        <v>221</v>
      </c>
      <c r="B48" s="1" t="s">
        <v>220</v>
      </c>
      <c r="C48" s="9">
        <v>3.1311399999999998</v>
      </c>
      <c r="D48" s="6">
        <v>3.0178539999999998</v>
      </c>
      <c r="E48" s="6">
        <v>3.2444250000000001</v>
      </c>
      <c r="F48" s="8">
        <v>45</v>
      </c>
      <c r="G48" s="1">
        <v>35</v>
      </c>
      <c r="H48" s="1">
        <v>52</v>
      </c>
      <c r="I48" s="7">
        <f>(C48-1)*100/($C$4-1)</f>
        <v>68.178742618320413</v>
      </c>
      <c r="J48" s="6">
        <v>2.5099269999999998</v>
      </c>
      <c r="K48" s="1">
        <v>78</v>
      </c>
      <c r="L48" s="6">
        <v>3.0660240000000001</v>
      </c>
      <c r="M48" s="1">
        <v>46</v>
      </c>
      <c r="N48" s="6">
        <v>3.1216499999999998</v>
      </c>
      <c r="O48" s="1">
        <v>41</v>
      </c>
      <c r="P48" s="6">
        <v>3.1182970000000001</v>
      </c>
      <c r="Q48" s="1">
        <v>41</v>
      </c>
      <c r="R48" s="6">
        <v>3.417529</v>
      </c>
      <c r="S48" s="1">
        <v>33</v>
      </c>
      <c r="T48" s="6">
        <v>3.552235</v>
      </c>
      <c r="U48" s="1">
        <v>49</v>
      </c>
    </row>
    <row r="49" spans="1:21" x14ac:dyDescent="0.2">
      <c r="A49" s="1" t="s">
        <v>219</v>
      </c>
      <c r="B49" s="1" t="s">
        <v>218</v>
      </c>
      <c r="C49" s="9">
        <v>3.0758869999999998</v>
      </c>
      <c r="D49" s="6">
        <v>3.0040789999999999</v>
      </c>
      <c r="E49" s="6">
        <v>3.1476950000000001</v>
      </c>
      <c r="F49" s="8">
        <v>46</v>
      </c>
      <c r="G49" s="1">
        <v>44</v>
      </c>
      <c r="H49" s="1">
        <v>53</v>
      </c>
      <c r="I49" s="7">
        <f>(C49-1)*100/($C$4-1)</f>
        <v>66.411106486536454</v>
      </c>
      <c r="J49" s="6">
        <v>2.7702629999999999</v>
      </c>
      <c r="K49" s="1">
        <v>52</v>
      </c>
      <c r="L49" s="6">
        <v>2.8665970000000001</v>
      </c>
      <c r="M49" s="1">
        <v>56</v>
      </c>
      <c r="N49" s="6">
        <v>2.9818280000000001</v>
      </c>
      <c r="O49" s="1">
        <v>54</v>
      </c>
      <c r="P49" s="6">
        <v>3.1367829999999999</v>
      </c>
      <c r="Q49" s="1">
        <v>38</v>
      </c>
      <c r="R49" s="6">
        <v>3.0940500000000002</v>
      </c>
      <c r="S49" s="1">
        <v>54</v>
      </c>
      <c r="T49" s="6">
        <v>3.581115</v>
      </c>
      <c r="U49" s="1">
        <v>44</v>
      </c>
    </row>
    <row r="50" spans="1:21" x14ac:dyDescent="0.2">
      <c r="A50" s="1" t="s">
        <v>217</v>
      </c>
      <c r="B50" s="1" t="s">
        <v>216</v>
      </c>
      <c r="C50" s="9">
        <v>3.0627170000000001</v>
      </c>
      <c r="D50" s="6">
        <v>2.9410530000000001</v>
      </c>
      <c r="E50" s="6">
        <v>3.1843810000000001</v>
      </c>
      <c r="F50" s="8">
        <v>47</v>
      </c>
      <c r="G50" s="1">
        <v>37</v>
      </c>
      <c r="H50" s="1">
        <v>59</v>
      </c>
      <c r="I50" s="7">
        <f>(C50-1)*100/($C$4-1)</f>
        <v>65.989776099849863</v>
      </c>
      <c r="J50" s="6">
        <v>2.6307320000000001</v>
      </c>
      <c r="K50" s="1">
        <v>66</v>
      </c>
      <c r="L50" s="6">
        <v>3.0266090000000001</v>
      </c>
      <c r="M50" s="1">
        <v>47</v>
      </c>
      <c r="N50" s="6">
        <v>3.0657030000000001</v>
      </c>
      <c r="O50" s="1">
        <v>43</v>
      </c>
      <c r="P50" s="6">
        <v>3.0201099999999999</v>
      </c>
      <c r="Q50" s="1">
        <v>44</v>
      </c>
      <c r="R50" s="6">
        <v>3.1535609999999998</v>
      </c>
      <c r="S50" s="1">
        <v>49</v>
      </c>
      <c r="T50" s="6">
        <v>3.471374</v>
      </c>
      <c r="U50" s="1">
        <v>55</v>
      </c>
    </row>
    <row r="51" spans="1:21" x14ac:dyDescent="0.2">
      <c r="A51" s="1" t="s">
        <v>215</v>
      </c>
      <c r="B51" s="1" t="s">
        <v>214</v>
      </c>
      <c r="C51" s="9">
        <v>3.0533709999999998</v>
      </c>
      <c r="D51" s="6">
        <v>2.7381579999999999</v>
      </c>
      <c r="E51" s="6">
        <v>3.3685849999999999</v>
      </c>
      <c r="F51" s="8">
        <v>48</v>
      </c>
      <c r="G51" s="1">
        <v>33</v>
      </c>
      <c r="H51" s="1">
        <v>82</v>
      </c>
      <c r="I51" s="7">
        <f>(C51-1)*100/($C$4-1)</f>
        <v>65.690781886184496</v>
      </c>
      <c r="J51" s="6">
        <v>2.6666669999999999</v>
      </c>
      <c r="K51" s="1">
        <v>60</v>
      </c>
      <c r="L51" s="6">
        <v>3.0833330000000001</v>
      </c>
      <c r="M51" s="1">
        <v>43</v>
      </c>
      <c r="N51" s="6">
        <v>2.8333330000000001</v>
      </c>
      <c r="O51" s="1">
        <v>72</v>
      </c>
      <c r="P51" s="6">
        <v>2.9430559999999999</v>
      </c>
      <c r="Q51" s="1">
        <v>53</v>
      </c>
      <c r="R51" s="6">
        <v>3.4166669999999999</v>
      </c>
      <c r="S51" s="1">
        <v>34</v>
      </c>
      <c r="T51" s="6">
        <v>3.4166669999999999</v>
      </c>
      <c r="U51" s="1">
        <v>60</v>
      </c>
    </row>
    <row r="52" spans="1:21" x14ac:dyDescent="0.2">
      <c r="A52" s="1" t="s">
        <v>213</v>
      </c>
      <c r="B52" s="1" t="s">
        <v>212</v>
      </c>
      <c r="C52" s="9">
        <v>3.046716</v>
      </c>
      <c r="D52" s="6">
        <v>2.9016329999999999</v>
      </c>
      <c r="E52" s="6">
        <v>3.1918000000000002</v>
      </c>
      <c r="F52" s="8">
        <v>49</v>
      </c>
      <c r="G52" s="1">
        <v>37</v>
      </c>
      <c r="H52" s="1">
        <v>61</v>
      </c>
      <c r="I52" s="7">
        <f>(C52-1)*100/($C$4-1)</f>
        <v>65.477877275448023</v>
      </c>
      <c r="J52" s="6">
        <v>2.4474840000000002</v>
      </c>
      <c r="K52" s="1">
        <v>83</v>
      </c>
      <c r="L52" s="6">
        <v>2.9431759999999998</v>
      </c>
      <c r="M52" s="1">
        <v>52</v>
      </c>
      <c r="N52" s="6">
        <v>3.3310599999999999</v>
      </c>
      <c r="O52" s="1">
        <v>32</v>
      </c>
      <c r="P52" s="6">
        <v>2.952439</v>
      </c>
      <c r="Q52" s="1">
        <v>51</v>
      </c>
      <c r="R52" s="6">
        <v>3.302219</v>
      </c>
      <c r="S52" s="1">
        <v>38</v>
      </c>
      <c r="T52" s="6">
        <v>3.2665850000000001</v>
      </c>
      <c r="U52" s="1">
        <v>72</v>
      </c>
    </row>
    <row r="53" spans="1:21" x14ac:dyDescent="0.2">
      <c r="A53" s="1" t="s">
        <v>211</v>
      </c>
      <c r="B53" s="1" t="s">
        <v>210</v>
      </c>
      <c r="C53" s="9">
        <v>3.0318350000000001</v>
      </c>
      <c r="D53" s="6">
        <v>2.8574489999999999</v>
      </c>
      <c r="E53" s="6">
        <v>3.2062210000000002</v>
      </c>
      <c r="F53" s="8">
        <v>50</v>
      </c>
      <c r="G53" s="1">
        <v>37</v>
      </c>
      <c r="H53" s="1">
        <v>65</v>
      </c>
      <c r="I53" s="7">
        <f>(C53-1)*100/($C$4-1)</f>
        <v>65.00180912933692</v>
      </c>
      <c r="J53" s="6">
        <v>2.6375760000000001</v>
      </c>
      <c r="K53" s="1">
        <v>65</v>
      </c>
      <c r="L53" s="6">
        <v>3.1404040000000002</v>
      </c>
      <c r="M53" s="1">
        <v>39</v>
      </c>
      <c r="N53" s="6">
        <v>3.0111110000000001</v>
      </c>
      <c r="O53" s="1">
        <v>46</v>
      </c>
      <c r="P53" s="6">
        <v>2.8860269999999999</v>
      </c>
      <c r="Q53" s="1">
        <v>59</v>
      </c>
      <c r="R53" s="6">
        <v>3.0110269999999999</v>
      </c>
      <c r="S53" s="1">
        <v>58</v>
      </c>
      <c r="T53" s="6">
        <v>3.5110269999999999</v>
      </c>
      <c r="U53" s="1">
        <v>53</v>
      </c>
    </row>
    <row r="54" spans="1:21" x14ac:dyDescent="0.2">
      <c r="A54" s="1" t="s">
        <v>209</v>
      </c>
      <c r="B54" s="1" t="s">
        <v>208</v>
      </c>
      <c r="C54" s="9">
        <v>3.0293739999999998</v>
      </c>
      <c r="D54" s="6">
        <v>2.7035939999999998</v>
      </c>
      <c r="E54" s="6">
        <v>3.3551530000000001</v>
      </c>
      <c r="F54" s="8">
        <v>51</v>
      </c>
      <c r="G54" s="1">
        <v>33</v>
      </c>
      <c r="H54" s="1">
        <v>84</v>
      </c>
      <c r="I54" s="7">
        <f>(C54-1)*100/($C$4-1)</f>
        <v>64.923077612128424</v>
      </c>
      <c r="J54" s="6">
        <v>2.875</v>
      </c>
      <c r="K54" s="1">
        <v>45</v>
      </c>
      <c r="L54" s="6">
        <v>2.985614</v>
      </c>
      <c r="M54" s="1">
        <v>48</v>
      </c>
      <c r="N54" s="6">
        <v>2.8359380000000001</v>
      </c>
      <c r="O54" s="1">
        <v>71</v>
      </c>
      <c r="P54" s="6">
        <v>3.0667070000000001</v>
      </c>
      <c r="Q54" s="1">
        <v>43</v>
      </c>
      <c r="R54" s="6">
        <v>2.8359380000000001</v>
      </c>
      <c r="S54" s="1">
        <v>68</v>
      </c>
      <c r="T54" s="6">
        <v>3.573868</v>
      </c>
      <c r="U54" s="1">
        <v>46</v>
      </c>
    </row>
    <row r="55" spans="1:21" x14ac:dyDescent="0.2">
      <c r="A55" s="1" t="s">
        <v>207</v>
      </c>
      <c r="B55" s="1" t="s">
        <v>206</v>
      </c>
      <c r="C55" s="9">
        <v>3.024864</v>
      </c>
      <c r="D55" s="6">
        <v>2.846187</v>
      </c>
      <c r="E55" s="6">
        <v>3.2035399999999998</v>
      </c>
      <c r="F55" s="8">
        <v>52</v>
      </c>
      <c r="G55" s="1">
        <v>37</v>
      </c>
      <c r="H55" s="1">
        <v>67</v>
      </c>
      <c r="I55" s="7">
        <f>(C55-1)*100/($C$4-1)</f>
        <v>64.778795148654126</v>
      </c>
      <c r="J55" s="6">
        <v>2.625</v>
      </c>
      <c r="K55" s="1">
        <v>67</v>
      </c>
      <c r="L55" s="6">
        <v>2.8020830000000001</v>
      </c>
      <c r="M55" s="1">
        <v>62</v>
      </c>
      <c r="N55" s="6">
        <v>2.96875</v>
      </c>
      <c r="O55" s="1">
        <v>56</v>
      </c>
      <c r="P55" s="6">
        <v>3.1354169999999999</v>
      </c>
      <c r="Q55" s="1">
        <v>39</v>
      </c>
      <c r="R55" s="6">
        <v>3.3020830000000001</v>
      </c>
      <c r="S55" s="1">
        <v>39</v>
      </c>
      <c r="T55" s="6">
        <v>3.3020830000000001</v>
      </c>
      <c r="U55" s="1">
        <v>69</v>
      </c>
    </row>
    <row r="56" spans="1:21" x14ac:dyDescent="0.2">
      <c r="A56" s="1" t="s">
        <v>205</v>
      </c>
      <c r="B56" s="1" t="s">
        <v>204</v>
      </c>
      <c r="C56" s="9">
        <v>3.0044749999999998</v>
      </c>
      <c r="D56" s="6">
        <v>2.8108089999999999</v>
      </c>
      <c r="E56" s="6">
        <v>3.19814</v>
      </c>
      <c r="F56" s="8">
        <v>53</v>
      </c>
      <c r="G56" s="1">
        <v>37</v>
      </c>
      <c r="H56" s="1">
        <v>72</v>
      </c>
      <c r="I56" s="7">
        <f>(C56-1)*100/($C$4-1)</f>
        <v>64.126516845377509</v>
      </c>
      <c r="J56" s="6">
        <v>2.65028</v>
      </c>
      <c r="K56" s="1">
        <v>63</v>
      </c>
      <c r="L56" s="6">
        <v>2.681854</v>
      </c>
      <c r="M56" s="1">
        <v>72</v>
      </c>
      <c r="N56" s="6">
        <v>3.1413869999999999</v>
      </c>
      <c r="O56" s="1">
        <v>39</v>
      </c>
      <c r="P56" s="6">
        <v>2.681854</v>
      </c>
      <c r="Q56" s="1">
        <v>82</v>
      </c>
      <c r="R56" s="6">
        <v>3.1649150000000001</v>
      </c>
      <c r="S56" s="1">
        <v>47</v>
      </c>
      <c r="T56" s="6">
        <v>3.6446869999999998</v>
      </c>
      <c r="U56" s="1">
        <v>38</v>
      </c>
    </row>
    <row r="57" spans="1:21" x14ac:dyDescent="0.2">
      <c r="A57" s="1" t="s">
        <v>203</v>
      </c>
      <c r="B57" s="1" t="s">
        <v>202</v>
      </c>
      <c r="C57" s="9">
        <v>2.9950359999999998</v>
      </c>
      <c r="D57" s="6">
        <v>2.8533979999999999</v>
      </c>
      <c r="E57" s="6">
        <v>3.136673</v>
      </c>
      <c r="F57" s="8">
        <v>54</v>
      </c>
      <c r="G57" s="1">
        <v>45</v>
      </c>
      <c r="H57" s="1">
        <v>66</v>
      </c>
      <c r="I57" s="7">
        <f>(C57-1)*100/($C$4-1)</f>
        <v>63.824547405746912</v>
      </c>
      <c r="J57" s="6">
        <v>2.65442</v>
      </c>
      <c r="K57" s="1">
        <v>61</v>
      </c>
      <c r="L57" s="6">
        <v>2.5101719999999998</v>
      </c>
      <c r="M57" s="1">
        <v>87</v>
      </c>
      <c r="N57" s="6">
        <v>2.9917660000000001</v>
      </c>
      <c r="O57" s="1">
        <v>53</v>
      </c>
      <c r="P57" s="6">
        <v>2.8271730000000002</v>
      </c>
      <c r="Q57" s="1">
        <v>64</v>
      </c>
      <c r="R57" s="6">
        <v>3.0977779999999999</v>
      </c>
      <c r="S57" s="1">
        <v>53</v>
      </c>
      <c r="T57" s="6">
        <v>3.8161420000000001</v>
      </c>
      <c r="U57" s="1">
        <v>29</v>
      </c>
    </row>
    <row r="58" spans="1:21" x14ac:dyDescent="0.2">
      <c r="A58" s="1" t="s">
        <v>201</v>
      </c>
      <c r="B58" s="1" t="s">
        <v>200</v>
      </c>
      <c r="C58" s="9">
        <v>2.9853459999999998</v>
      </c>
      <c r="D58" s="6">
        <v>2.8193199999999998</v>
      </c>
      <c r="E58" s="6">
        <v>3.1513719999999998</v>
      </c>
      <c r="F58" s="8">
        <v>55</v>
      </c>
      <c r="G58" s="1">
        <v>44</v>
      </c>
      <c r="H58" s="1">
        <v>71</v>
      </c>
      <c r="I58" s="7">
        <f>(C58-1)*100/($C$4-1)</f>
        <v>63.514548055177961</v>
      </c>
      <c r="J58" s="6">
        <v>2.6513680000000002</v>
      </c>
      <c r="K58" s="1">
        <v>62</v>
      </c>
      <c r="L58" s="6">
        <v>2.859642</v>
      </c>
      <c r="M58" s="1">
        <v>57</v>
      </c>
      <c r="N58" s="6">
        <v>3.0046840000000001</v>
      </c>
      <c r="O58" s="1">
        <v>49</v>
      </c>
      <c r="P58" s="6">
        <v>2.9347120000000002</v>
      </c>
      <c r="Q58" s="1">
        <v>54</v>
      </c>
      <c r="R58" s="6">
        <v>2.8095240000000001</v>
      </c>
      <c r="S58" s="1">
        <v>71</v>
      </c>
      <c r="T58" s="6">
        <v>3.613445</v>
      </c>
      <c r="U58" s="1">
        <v>41</v>
      </c>
    </row>
    <row r="59" spans="1:21" x14ac:dyDescent="0.2">
      <c r="A59" s="1" t="s">
        <v>199</v>
      </c>
      <c r="B59" s="1" t="s">
        <v>198</v>
      </c>
      <c r="C59" s="9">
        <v>2.9835340000000001</v>
      </c>
      <c r="D59" s="6">
        <v>2.8120509999999999</v>
      </c>
      <c r="E59" s="6">
        <v>3.155017</v>
      </c>
      <c r="F59" s="8">
        <v>56</v>
      </c>
      <c r="G59" s="1">
        <v>44</v>
      </c>
      <c r="H59" s="1">
        <v>72</v>
      </c>
      <c r="I59" s="7">
        <f>(C59-1)*100/($C$4-1)</f>
        <v>63.456579136371893</v>
      </c>
      <c r="J59" s="6">
        <v>2.9882430000000002</v>
      </c>
      <c r="K59" s="1">
        <v>40</v>
      </c>
      <c r="L59" s="6">
        <v>2.871105</v>
      </c>
      <c r="M59" s="1">
        <v>55</v>
      </c>
      <c r="N59" s="6">
        <v>2.9085220000000001</v>
      </c>
      <c r="O59" s="1">
        <v>60</v>
      </c>
      <c r="P59" s="6">
        <v>2.9791300000000001</v>
      </c>
      <c r="Q59" s="1">
        <v>48</v>
      </c>
      <c r="R59" s="6">
        <v>2.982596</v>
      </c>
      <c r="S59" s="1">
        <v>61</v>
      </c>
      <c r="T59" s="6">
        <v>3.1622189999999999</v>
      </c>
      <c r="U59" s="1">
        <v>81</v>
      </c>
    </row>
    <row r="60" spans="1:21" x14ac:dyDescent="0.2">
      <c r="A60" s="1" t="s">
        <v>197</v>
      </c>
      <c r="B60" s="1" t="s">
        <v>196</v>
      </c>
      <c r="C60" s="9">
        <v>2.9789469999999998</v>
      </c>
      <c r="D60" s="6">
        <v>2.7855340000000002</v>
      </c>
      <c r="E60" s="6">
        <v>3.1723590000000002</v>
      </c>
      <c r="F60" s="8">
        <v>57</v>
      </c>
      <c r="G60" s="1">
        <v>40</v>
      </c>
      <c r="H60" s="1">
        <v>75</v>
      </c>
      <c r="I60" s="7">
        <f>(C60-1)*100/($C$4-1)</f>
        <v>63.309833313765083</v>
      </c>
      <c r="J60" s="6">
        <v>2.5975290000000002</v>
      </c>
      <c r="K60" s="1">
        <v>69</v>
      </c>
      <c r="L60" s="6">
        <v>3.0686249999999999</v>
      </c>
      <c r="M60" s="1">
        <v>45</v>
      </c>
      <c r="N60" s="6">
        <v>3</v>
      </c>
      <c r="O60" s="1">
        <v>51</v>
      </c>
      <c r="P60" s="6">
        <v>2.9541010000000001</v>
      </c>
      <c r="Q60" s="1">
        <v>50</v>
      </c>
      <c r="R60" s="6">
        <v>2.8586459999999998</v>
      </c>
      <c r="S60" s="1">
        <v>66</v>
      </c>
      <c r="T60" s="6">
        <v>3.3904570000000001</v>
      </c>
      <c r="U60" s="1">
        <v>64</v>
      </c>
    </row>
    <row r="61" spans="1:21" x14ac:dyDescent="0.2">
      <c r="A61" s="1" t="s">
        <v>195</v>
      </c>
      <c r="B61" s="1" t="s">
        <v>194</v>
      </c>
      <c r="C61" s="9">
        <v>2.9483069999999998</v>
      </c>
      <c r="D61" s="6">
        <v>2.6752400000000001</v>
      </c>
      <c r="E61" s="6">
        <v>3.2213750000000001</v>
      </c>
      <c r="F61" s="8">
        <v>58</v>
      </c>
      <c r="G61" s="1">
        <v>36</v>
      </c>
      <c r="H61" s="1">
        <v>87</v>
      </c>
      <c r="I61" s="7">
        <f>(C61-1)*100/($C$4-1)</f>
        <v>62.329608329097098</v>
      </c>
      <c r="J61" s="6">
        <v>2.7272729999999998</v>
      </c>
      <c r="K61" s="1">
        <v>55</v>
      </c>
      <c r="L61" s="6">
        <v>2.5803720000000001</v>
      </c>
      <c r="M61" s="1">
        <v>82</v>
      </c>
      <c r="N61" s="6">
        <v>2.9735900000000002</v>
      </c>
      <c r="O61" s="1">
        <v>55</v>
      </c>
      <c r="P61" s="6">
        <v>2.9090910000000001</v>
      </c>
      <c r="Q61" s="1">
        <v>57</v>
      </c>
      <c r="R61" s="6">
        <v>2.7272729999999998</v>
      </c>
      <c r="S61" s="1">
        <v>83</v>
      </c>
      <c r="T61" s="6">
        <v>3.6971949999999998</v>
      </c>
      <c r="U61" s="1">
        <v>37</v>
      </c>
    </row>
    <row r="62" spans="1:21" x14ac:dyDescent="0.2">
      <c r="A62" s="1" t="s">
        <v>193</v>
      </c>
      <c r="B62" s="1" t="s">
        <v>192</v>
      </c>
      <c r="C62" s="9">
        <v>2.9447800000000002</v>
      </c>
      <c r="D62" s="6">
        <v>2.7759770000000001</v>
      </c>
      <c r="E62" s="6">
        <v>3.1135839999999999</v>
      </c>
      <c r="F62" s="8">
        <v>59</v>
      </c>
      <c r="G62" s="1">
        <v>46</v>
      </c>
      <c r="H62" s="1">
        <v>76</v>
      </c>
      <c r="I62" s="7">
        <f>(C62-1)*100/($C$4-1)</f>
        <v>62.216773684158333</v>
      </c>
      <c r="J62" s="6">
        <v>2.52833</v>
      </c>
      <c r="K62" s="1">
        <v>75</v>
      </c>
      <c r="L62" s="6">
        <v>2.5381179999999999</v>
      </c>
      <c r="M62" s="1">
        <v>85</v>
      </c>
      <c r="N62" s="6">
        <v>2.965862</v>
      </c>
      <c r="O62" s="1">
        <v>57</v>
      </c>
      <c r="P62" s="6">
        <v>2.8462209999999999</v>
      </c>
      <c r="Q62" s="1">
        <v>62</v>
      </c>
      <c r="R62" s="6">
        <v>3.1195379999999999</v>
      </c>
      <c r="S62" s="1">
        <v>52</v>
      </c>
      <c r="T62" s="6">
        <v>3.6117080000000001</v>
      </c>
      <c r="U62" s="1">
        <v>42</v>
      </c>
    </row>
    <row r="63" spans="1:21" x14ac:dyDescent="0.2">
      <c r="A63" s="1" t="s">
        <v>191</v>
      </c>
      <c r="B63" s="1" t="s">
        <v>190</v>
      </c>
      <c r="C63" s="9">
        <v>2.9350290000000001</v>
      </c>
      <c r="D63" s="6">
        <v>2.7759209999999999</v>
      </c>
      <c r="E63" s="6">
        <v>3.0941360000000002</v>
      </c>
      <c r="F63" s="8">
        <v>60</v>
      </c>
      <c r="G63" s="1">
        <v>46</v>
      </c>
      <c r="H63" s="1">
        <v>76</v>
      </c>
      <c r="I63" s="7">
        <f>(C63-1)*100/($C$4-1)</f>
        <v>61.904822841289615</v>
      </c>
      <c r="J63" s="6">
        <v>2.6823459999999999</v>
      </c>
      <c r="K63" s="1">
        <v>58</v>
      </c>
      <c r="L63" s="6">
        <v>2.7294559999999999</v>
      </c>
      <c r="M63" s="1">
        <v>67</v>
      </c>
      <c r="N63" s="6">
        <v>2.8705630000000002</v>
      </c>
      <c r="O63" s="1">
        <v>66</v>
      </c>
      <c r="P63" s="6">
        <v>2.9097369999999998</v>
      </c>
      <c r="Q63" s="1">
        <v>56</v>
      </c>
      <c r="R63" s="6">
        <v>2.991857</v>
      </c>
      <c r="S63" s="1">
        <v>60</v>
      </c>
      <c r="T63" s="6">
        <v>3.4010720000000001</v>
      </c>
      <c r="U63" s="1">
        <v>62</v>
      </c>
    </row>
    <row r="64" spans="1:21" x14ac:dyDescent="0.2">
      <c r="A64" s="1" t="s">
        <v>189</v>
      </c>
      <c r="B64" s="1" t="s">
        <v>188</v>
      </c>
      <c r="C64" s="9">
        <v>2.9266169999999998</v>
      </c>
      <c r="D64" s="6">
        <v>2.7475369999999999</v>
      </c>
      <c r="E64" s="6">
        <v>3.1056970000000002</v>
      </c>
      <c r="F64" s="8">
        <v>61</v>
      </c>
      <c r="G64" s="1">
        <v>46</v>
      </c>
      <c r="H64" s="1">
        <v>81</v>
      </c>
      <c r="I64" s="7">
        <f>(C64-1)*100/($C$4-1)</f>
        <v>61.635708853984539</v>
      </c>
      <c r="J64" s="6">
        <v>2.5555560000000002</v>
      </c>
      <c r="K64" s="1">
        <v>74</v>
      </c>
      <c r="L64" s="6">
        <v>2.9444439999999998</v>
      </c>
      <c r="M64" s="1">
        <v>51</v>
      </c>
      <c r="N64" s="6">
        <v>2.7569439999999998</v>
      </c>
      <c r="O64" s="1">
        <v>79</v>
      </c>
      <c r="P64" s="6">
        <v>2.8382350000000001</v>
      </c>
      <c r="Q64" s="1">
        <v>63</v>
      </c>
      <c r="R64" s="6">
        <v>3.0147059999999999</v>
      </c>
      <c r="S64" s="1">
        <v>57</v>
      </c>
      <c r="T64" s="6">
        <v>3.4654410000000002</v>
      </c>
      <c r="U64" s="1">
        <v>56</v>
      </c>
    </row>
    <row r="65" spans="1:21" x14ac:dyDescent="0.2">
      <c r="A65" s="1" t="s">
        <v>187</v>
      </c>
      <c r="B65" s="1" t="s">
        <v>186</v>
      </c>
      <c r="C65" s="9">
        <v>2.8874909999999998</v>
      </c>
      <c r="D65" s="6">
        <v>2.6300370000000002</v>
      </c>
      <c r="E65" s="6">
        <v>3.144946</v>
      </c>
      <c r="F65" s="8">
        <v>62</v>
      </c>
      <c r="G65" s="1">
        <v>44</v>
      </c>
      <c r="H65" s="1">
        <v>89</v>
      </c>
      <c r="I65" s="7">
        <f>(C65-1)*100/($C$4-1)</f>
        <v>60.384002497910132</v>
      </c>
      <c r="J65" s="6">
        <v>3.0967530000000001</v>
      </c>
      <c r="K65" s="1">
        <v>36</v>
      </c>
      <c r="L65" s="6">
        <v>2.9634200000000002</v>
      </c>
      <c r="M65" s="1">
        <v>49</v>
      </c>
      <c r="N65" s="6">
        <v>2.7777780000000001</v>
      </c>
      <c r="O65" s="1">
        <v>77</v>
      </c>
      <c r="P65" s="6">
        <v>2.7330549999999998</v>
      </c>
      <c r="Q65" s="1">
        <v>77</v>
      </c>
      <c r="R65" s="6">
        <v>2.590198</v>
      </c>
      <c r="S65" s="1">
        <v>94</v>
      </c>
      <c r="T65" s="6">
        <v>3.165959</v>
      </c>
      <c r="U65" s="1">
        <v>80</v>
      </c>
    </row>
    <row r="66" spans="1:21" x14ac:dyDescent="0.2">
      <c r="A66" s="1" t="s">
        <v>185</v>
      </c>
      <c r="B66" s="1" t="s">
        <v>184</v>
      </c>
      <c r="C66" s="9">
        <v>2.8857149999999998</v>
      </c>
      <c r="D66" s="6">
        <v>2.6363620000000001</v>
      </c>
      <c r="E66" s="6">
        <v>3.1350690000000001</v>
      </c>
      <c r="F66" s="8">
        <v>63</v>
      </c>
      <c r="G66" s="1">
        <v>45</v>
      </c>
      <c r="H66" s="1">
        <v>89</v>
      </c>
      <c r="I66" s="7">
        <f>(C66-1)*100/($C$4-1)</f>
        <v>60.327185279477689</v>
      </c>
      <c r="J66" s="6">
        <v>2.2891159999999999</v>
      </c>
      <c r="K66" s="1">
        <v>110</v>
      </c>
      <c r="L66" s="6">
        <v>2.622449</v>
      </c>
      <c r="M66" s="1">
        <v>74</v>
      </c>
      <c r="N66" s="6">
        <v>3.1428569999999998</v>
      </c>
      <c r="O66" s="1">
        <v>38</v>
      </c>
      <c r="P66" s="6">
        <v>2.7891159999999999</v>
      </c>
      <c r="Q66" s="1">
        <v>69</v>
      </c>
      <c r="R66" s="6">
        <v>3.122449</v>
      </c>
      <c r="S66" s="1">
        <v>51</v>
      </c>
      <c r="T66" s="6">
        <v>3.2891159999999999</v>
      </c>
      <c r="U66" s="1">
        <v>70</v>
      </c>
    </row>
    <row r="67" spans="1:21" x14ac:dyDescent="0.2">
      <c r="A67" s="1" t="s">
        <v>183</v>
      </c>
      <c r="B67" s="1" t="s">
        <v>182</v>
      </c>
      <c r="C67" s="9">
        <v>2.8693330000000001</v>
      </c>
      <c r="D67" s="6">
        <v>2.6555170000000001</v>
      </c>
      <c r="E67" s="6">
        <v>3.083148</v>
      </c>
      <c r="F67" s="8">
        <v>64</v>
      </c>
      <c r="G67" s="1">
        <v>46</v>
      </c>
      <c r="H67" s="1">
        <v>87</v>
      </c>
      <c r="I67" s="7">
        <f>(C67-1)*100/($C$4-1)</f>
        <v>59.803097626121591</v>
      </c>
      <c r="J67" s="6">
        <v>2.6471840000000002</v>
      </c>
      <c r="K67" s="1">
        <v>64</v>
      </c>
      <c r="L67" s="6">
        <v>2.7247819999999998</v>
      </c>
      <c r="M67" s="1">
        <v>68</v>
      </c>
      <c r="N67" s="6">
        <v>2.7597839999999998</v>
      </c>
      <c r="O67" s="1">
        <v>78</v>
      </c>
      <c r="P67" s="6">
        <v>2.9468260000000002</v>
      </c>
      <c r="Q67" s="1">
        <v>52</v>
      </c>
      <c r="R67" s="6">
        <v>2.658741</v>
      </c>
      <c r="S67" s="1">
        <v>85</v>
      </c>
      <c r="T67" s="6">
        <v>3.4515639999999999</v>
      </c>
      <c r="U67" s="1">
        <v>57</v>
      </c>
    </row>
    <row r="68" spans="1:21" x14ac:dyDescent="0.2">
      <c r="A68" s="1" t="s">
        <v>181</v>
      </c>
      <c r="B68" s="1" t="s">
        <v>180</v>
      </c>
      <c r="C68" s="9">
        <v>2.860271</v>
      </c>
      <c r="D68" s="6">
        <v>2.5501710000000002</v>
      </c>
      <c r="E68" s="6">
        <v>3.1703700000000001</v>
      </c>
      <c r="F68" s="8">
        <v>65</v>
      </c>
      <c r="G68" s="1">
        <v>41</v>
      </c>
      <c r="H68" s="1">
        <v>102</v>
      </c>
      <c r="I68" s="7">
        <f>(C68-1)*100/($C$4-1)</f>
        <v>59.513189048737075</v>
      </c>
      <c r="J68" s="6">
        <v>2.5091570000000001</v>
      </c>
      <c r="K68" s="1">
        <v>79</v>
      </c>
      <c r="L68" s="6">
        <v>2.7879119999999999</v>
      </c>
      <c r="M68" s="1">
        <v>63</v>
      </c>
      <c r="N68" s="6">
        <v>2.8168500000000001</v>
      </c>
      <c r="O68" s="1">
        <v>74</v>
      </c>
      <c r="P68" s="6">
        <v>2.8168500000000001</v>
      </c>
      <c r="Q68" s="1">
        <v>65</v>
      </c>
      <c r="R68" s="6">
        <v>3</v>
      </c>
      <c r="S68" s="1">
        <v>59</v>
      </c>
      <c r="T68" s="6">
        <v>3.2263739999999999</v>
      </c>
      <c r="U68" s="1">
        <v>75</v>
      </c>
    </row>
    <row r="69" spans="1:21" x14ac:dyDescent="0.2">
      <c r="A69" s="1" t="s">
        <v>179</v>
      </c>
      <c r="B69" s="1" t="s">
        <v>178</v>
      </c>
      <c r="C69" s="9">
        <v>2.8544109999999998</v>
      </c>
      <c r="D69" s="6">
        <v>2.7210890000000001</v>
      </c>
      <c r="E69" s="6">
        <v>2.987733</v>
      </c>
      <c r="F69" s="8">
        <v>66</v>
      </c>
      <c r="G69" s="1">
        <v>55</v>
      </c>
      <c r="H69" s="1">
        <v>84</v>
      </c>
      <c r="I69" s="7">
        <f>(C69-1)*100/($C$4-1)</f>
        <v>59.325717821251615</v>
      </c>
      <c r="J69" s="6">
        <v>2.4091170000000002</v>
      </c>
      <c r="K69" s="1">
        <v>88</v>
      </c>
      <c r="L69" s="6">
        <v>2.6928070000000002</v>
      </c>
      <c r="M69" s="1">
        <v>70</v>
      </c>
      <c r="N69" s="6">
        <v>2.7197420000000001</v>
      </c>
      <c r="O69" s="1">
        <v>83</v>
      </c>
      <c r="P69" s="6">
        <v>2.8478599999999998</v>
      </c>
      <c r="Q69" s="1">
        <v>61</v>
      </c>
      <c r="R69" s="6">
        <v>3.1453090000000001</v>
      </c>
      <c r="S69" s="1">
        <v>50</v>
      </c>
      <c r="T69" s="6">
        <v>3.3117179999999999</v>
      </c>
      <c r="U69" s="1">
        <v>68</v>
      </c>
    </row>
    <row r="70" spans="1:21" x14ac:dyDescent="0.2">
      <c r="A70" s="1" t="s">
        <v>177</v>
      </c>
      <c r="B70" s="1" t="s">
        <v>176</v>
      </c>
      <c r="C70" s="9">
        <v>2.8526370000000001</v>
      </c>
      <c r="D70" s="6">
        <v>2.5340639999999999</v>
      </c>
      <c r="E70" s="6">
        <v>3.1712099999999999</v>
      </c>
      <c r="F70" s="8">
        <v>67</v>
      </c>
      <c r="G70" s="1">
        <v>41</v>
      </c>
      <c r="H70" s="1">
        <v>104</v>
      </c>
      <c r="I70" s="7">
        <f>(C70-1)*100/($C$4-1)</f>
        <v>59.268964586173261</v>
      </c>
      <c r="J70" s="6">
        <v>2.5944449999999999</v>
      </c>
      <c r="K70" s="1">
        <v>70</v>
      </c>
      <c r="L70" s="6">
        <v>2.5694439999999998</v>
      </c>
      <c r="M70" s="1">
        <v>83</v>
      </c>
      <c r="N70" s="6">
        <v>2.4361109999999999</v>
      </c>
      <c r="O70" s="1">
        <v>119</v>
      </c>
      <c r="P70" s="6">
        <v>2.9027780000000001</v>
      </c>
      <c r="Q70" s="1">
        <v>58</v>
      </c>
      <c r="R70" s="6">
        <v>2.8722219999999998</v>
      </c>
      <c r="S70" s="1">
        <v>65</v>
      </c>
      <c r="T70" s="6">
        <v>3.7361110000000002</v>
      </c>
      <c r="U70" s="1">
        <v>36</v>
      </c>
    </row>
    <row r="71" spans="1:21" x14ac:dyDescent="0.2">
      <c r="A71" s="1" t="s">
        <v>175</v>
      </c>
      <c r="B71" s="1" t="s">
        <v>174</v>
      </c>
      <c r="C71" s="9">
        <v>2.841809</v>
      </c>
      <c r="D71" s="6">
        <v>2.4618319999999998</v>
      </c>
      <c r="E71" s="6">
        <v>3.2217859999999998</v>
      </c>
      <c r="F71" s="8">
        <v>68</v>
      </c>
      <c r="G71" s="1">
        <v>36</v>
      </c>
      <c r="H71" s="1">
        <v>118</v>
      </c>
      <c r="I71" s="7">
        <f>(C71-1)*100/($C$4-1)</f>
        <v>58.922558707126754</v>
      </c>
      <c r="J71" s="6">
        <v>2.8155000000000001</v>
      </c>
      <c r="K71" s="1">
        <v>48</v>
      </c>
      <c r="L71" s="6">
        <v>2.8197230000000002</v>
      </c>
      <c r="M71" s="1">
        <v>60</v>
      </c>
      <c r="N71" s="6">
        <v>2.5266109999999999</v>
      </c>
      <c r="O71" s="1">
        <v>111</v>
      </c>
      <c r="P71" s="6">
        <v>2.7427999999999999</v>
      </c>
      <c r="Q71" s="1">
        <v>75</v>
      </c>
      <c r="R71" s="6">
        <v>2.7338939999999998</v>
      </c>
      <c r="S71" s="1">
        <v>81</v>
      </c>
      <c r="T71" s="6">
        <v>3.4287869999999998</v>
      </c>
      <c r="U71" s="1">
        <v>58</v>
      </c>
    </row>
    <row r="72" spans="1:21" x14ac:dyDescent="0.2">
      <c r="A72" s="1" t="s">
        <v>173</v>
      </c>
      <c r="B72" s="1" t="s">
        <v>172</v>
      </c>
      <c r="C72" s="9">
        <v>2.8326500000000001</v>
      </c>
      <c r="D72" s="6">
        <v>2.5049619999999999</v>
      </c>
      <c r="E72" s="6">
        <v>3.1603379999999999</v>
      </c>
      <c r="F72" s="8">
        <v>69</v>
      </c>
      <c r="G72" s="1">
        <v>43</v>
      </c>
      <c r="H72" s="1">
        <v>108</v>
      </c>
      <c r="I72" s="7">
        <f>(C72-1)*100/($C$4-1)</f>
        <v>58.629546937068859</v>
      </c>
      <c r="J72" s="6">
        <v>2.3833329999999999</v>
      </c>
      <c r="K72" s="1">
        <v>94</v>
      </c>
      <c r="L72" s="6">
        <v>2.8833700000000002</v>
      </c>
      <c r="M72" s="1">
        <v>53</v>
      </c>
      <c r="N72" s="6">
        <v>2.6904759999999999</v>
      </c>
      <c r="O72" s="1">
        <v>87</v>
      </c>
      <c r="P72" s="6">
        <v>2.7619050000000001</v>
      </c>
      <c r="Q72" s="1">
        <v>73</v>
      </c>
      <c r="R72" s="6">
        <v>2.976191</v>
      </c>
      <c r="S72" s="1">
        <v>63</v>
      </c>
      <c r="T72" s="6">
        <v>3.321062</v>
      </c>
      <c r="U72" s="1">
        <v>67</v>
      </c>
    </row>
    <row r="73" spans="1:21" x14ac:dyDescent="0.2">
      <c r="A73" s="1" t="s">
        <v>171</v>
      </c>
      <c r="B73" s="1" t="s">
        <v>170</v>
      </c>
      <c r="C73" s="9">
        <v>2.8296269999999999</v>
      </c>
      <c r="D73" s="6">
        <v>2.597426</v>
      </c>
      <c r="E73" s="6">
        <v>3.0618280000000002</v>
      </c>
      <c r="F73" s="8">
        <v>70</v>
      </c>
      <c r="G73" s="1">
        <v>48</v>
      </c>
      <c r="H73" s="1">
        <v>93</v>
      </c>
      <c r="I73" s="7">
        <f>(C73-1)*100/($C$4-1)</f>
        <v>58.532836097360907</v>
      </c>
      <c r="J73" s="6">
        <v>2.7335229999999999</v>
      </c>
      <c r="K73" s="1">
        <v>53</v>
      </c>
      <c r="L73" s="6">
        <v>2.8179630000000002</v>
      </c>
      <c r="M73" s="1">
        <v>61</v>
      </c>
      <c r="N73" s="6">
        <v>2.6787879999999999</v>
      </c>
      <c r="O73" s="1">
        <v>90</v>
      </c>
      <c r="P73" s="6">
        <v>2.6787879999999999</v>
      </c>
      <c r="Q73" s="1">
        <v>84</v>
      </c>
      <c r="R73" s="6">
        <v>2.9787880000000002</v>
      </c>
      <c r="S73" s="1">
        <v>62</v>
      </c>
      <c r="T73" s="6">
        <v>3.1072600000000001</v>
      </c>
      <c r="U73" s="1">
        <v>87</v>
      </c>
    </row>
    <row r="74" spans="1:21" x14ac:dyDescent="0.2">
      <c r="A74" s="1" t="s">
        <v>169</v>
      </c>
      <c r="B74" s="1" t="s">
        <v>168</v>
      </c>
      <c r="C74" s="9">
        <v>2.8256139999999998</v>
      </c>
      <c r="D74" s="6">
        <v>2.5685820000000001</v>
      </c>
      <c r="E74" s="6">
        <v>3.082646</v>
      </c>
      <c r="F74" s="8">
        <v>71</v>
      </c>
      <c r="G74" s="1">
        <v>46</v>
      </c>
      <c r="H74" s="1">
        <v>98</v>
      </c>
      <c r="I74" s="7">
        <f>(C74-1)*100/($C$4-1)</f>
        <v>58.404453497378121</v>
      </c>
      <c r="J74" s="6">
        <v>2.8461539999999999</v>
      </c>
      <c r="K74" s="1">
        <v>46</v>
      </c>
      <c r="L74" s="6">
        <v>2.6923080000000001</v>
      </c>
      <c r="M74" s="1">
        <v>71</v>
      </c>
      <c r="N74" s="6">
        <v>2.8574950000000001</v>
      </c>
      <c r="O74" s="1">
        <v>68</v>
      </c>
      <c r="P74" s="6">
        <v>2.774162</v>
      </c>
      <c r="Q74" s="1">
        <v>72</v>
      </c>
      <c r="R74" s="6">
        <v>2.6074950000000001</v>
      </c>
      <c r="S74" s="1">
        <v>90</v>
      </c>
      <c r="T74" s="6">
        <v>3.1387209999999999</v>
      </c>
      <c r="U74" s="1">
        <v>83</v>
      </c>
    </row>
    <row r="75" spans="1:21" x14ac:dyDescent="0.2">
      <c r="A75" s="1" t="s">
        <v>167</v>
      </c>
      <c r="B75" s="1" t="s">
        <v>166</v>
      </c>
      <c r="C75" s="9">
        <v>2.81887</v>
      </c>
      <c r="D75" s="6">
        <v>2.566408</v>
      </c>
      <c r="E75" s="6">
        <v>3.071332</v>
      </c>
      <c r="F75" s="8">
        <v>72</v>
      </c>
      <c r="G75" s="1">
        <v>47</v>
      </c>
      <c r="H75" s="1">
        <v>98</v>
      </c>
      <c r="I75" s="7">
        <f>(C75-1)*100/($C$4-1)</f>
        <v>58.188701627384617</v>
      </c>
      <c r="J75" s="6">
        <v>2.5833330000000001</v>
      </c>
      <c r="K75" s="1">
        <v>72</v>
      </c>
      <c r="L75" s="6">
        <v>2.8333330000000001</v>
      </c>
      <c r="M75" s="1">
        <v>59</v>
      </c>
      <c r="N75" s="6">
        <v>2.5</v>
      </c>
      <c r="O75" s="1">
        <v>113</v>
      </c>
      <c r="P75" s="6">
        <v>2.6666669999999999</v>
      </c>
      <c r="Q75" s="1">
        <v>85</v>
      </c>
      <c r="R75" s="6">
        <v>2.8333330000000001</v>
      </c>
      <c r="S75" s="1">
        <v>69</v>
      </c>
      <c r="T75" s="6">
        <v>3.5218430000000001</v>
      </c>
      <c r="U75" s="1">
        <v>52</v>
      </c>
    </row>
    <row r="76" spans="1:21" x14ac:dyDescent="0.2">
      <c r="A76" s="1" t="s">
        <v>165</v>
      </c>
      <c r="B76" s="1" t="s">
        <v>164</v>
      </c>
      <c r="C76" s="9">
        <v>2.8079670000000001</v>
      </c>
      <c r="D76" s="6">
        <v>2.5584820000000001</v>
      </c>
      <c r="E76" s="6">
        <v>3.0574530000000002</v>
      </c>
      <c r="F76" s="8">
        <v>73</v>
      </c>
      <c r="G76" s="1">
        <v>48</v>
      </c>
      <c r="H76" s="1">
        <v>101</v>
      </c>
      <c r="I76" s="7">
        <f>(C76-1)*100/($C$4-1)</f>
        <v>57.839896372559721</v>
      </c>
      <c r="J76" s="6">
        <v>2.513998</v>
      </c>
      <c r="K76" s="1">
        <v>77</v>
      </c>
      <c r="L76" s="6">
        <v>2.7824879999999999</v>
      </c>
      <c r="M76" s="1">
        <v>64</v>
      </c>
      <c r="N76" s="6">
        <v>3.0055559999999999</v>
      </c>
      <c r="O76" s="1">
        <v>48</v>
      </c>
      <c r="P76" s="6">
        <v>2.8505720000000001</v>
      </c>
      <c r="Q76" s="1">
        <v>60</v>
      </c>
      <c r="R76" s="6">
        <v>2.5611109999999999</v>
      </c>
      <c r="S76" s="1">
        <v>102</v>
      </c>
      <c r="T76" s="6">
        <v>3.0912850000000001</v>
      </c>
      <c r="U76" s="1">
        <v>88</v>
      </c>
    </row>
    <row r="77" spans="1:21" x14ac:dyDescent="0.2">
      <c r="A77" s="1" t="s">
        <v>163</v>
      </c>
      <c r="B77" s="1" t="s">
        <v>162</v>
      </c>
      <c r="C77" s="9">
        <v>2.804983</v>
      </c>
      <c r="D77" s="6">
        <v>2.6381760000000001</v>
      </c>
      <c r="E77" s="6">
        <v>2.9717899999999999</v>
      </c>
      <c r="F77" s="8">
        <v>74</v>
      </c>
      <c r="G77" s="1">
        <v>58</v>
      </c>
      <c r="H77" s="1">
        <v>89</v>
      </c>
      <c r="I77" s="7">
        <f>(C77-1)*100/($C$4-1)</f>
        <v>57.744433208256538</v>
      </c>
      <c r="J77" s="6">
        <v>2.6229619999999998</v>
      </c>
      <c r="K77" s="1">
        <v>68</v>
      </c>
      <c r="L77" s="6">
        <v>2.5856340000000002</v>
      </c>
      <c r="M77" s="1">
        <v>81</v>
      </c>
      <c r="N77" s="6">
        <v>2.8159429999999999</v>
      </c>
      <c r="O77" s="1">
        <v>75</v>
      </c>
      <c r="P77" s="6">
        <v>2.7768079999999999</v>
      </c>
      <c r="Q77" s="1">
        <v>71</v>
      </c>
      <c r="R77" s="6">
        <v>2.8004470000000001</v>
      </c>
      <c r="S77" s="1">
        <v>73</v>
      </c>
      <c r="T77" s="6">
        <v>3.1911320000000001</v>
      </c>
      <c r="U77" s="1">
        <v>77</v>
      </c>
    </row>
    <row r="78" spans="1:21" x14ac:dyDescent="0.2">
      <c r="A78" s="1" t="s">
        <v>161</v>
      </c>
      <c r="B78" s="1" t="s">
        <v>160</v>
      </c>
      <c r="C78" s="9">
        <v>2.7997649999999998</v>
      </c>
      <c r="D78" s="6">
        <v>2.5229699999999999</v>
      </c>
      <c r="E78" s="6">
        <v>3.0765600000000002</v>
      </c>
      <c r="F78" s="8">
        <v>75</v>
      </c>
      <c r="G78" s="1">
        <v>46</v>
      </c>
      <c r="H78" s="1">
        <v>106</v>
      </c>
      <c r="I78" s="7">
        <f>(C78-1)*100/($C$4-1)</f>
        <v>57.577500637434163</v>
      </c>
      <c r="J78" s="6">
        <v>2.3888889999999998</v>
      </c>
      <c r="K78" s="1">
        <v>92</v>
      </c>
      <c r="L78" s="6">
        <v>2.6221860000000001</v>
      </c>
      <c r="M78" s="1">
        <v>75</v>
      </c>
      <c r="N78" s="6">
        <v>2.7568079999999999</v>
      </c>
      <c r="O78" s="1">
        <v>80</v>
      </c>
      <c r="P78" s="6">
        <v>2.8041900000000002</v>
      </c>
      <c r="Q78" s="1">
        <v>66</v>
      </c>
      <c r="R78" s="6">
        <v>3.0740310000000002</v>
      </c>
      <c r="S78" s="1">
        <v>55</v>
      </c>
      <c r="T78" s="6">
        <v>3.1414909999999998</v>
      </c>
      <c r="U78" s="1">
        <v>82</v>
      </c>
    </row>
    <row r="79" spans="1:21" x14ac:dyDescent="0.2">
      <c r="A79" s="1" t="s">
        <v>159</v>
      </c>
      <c r="B79" s="1" t="s">
        <v>158</v>
      </c>
      <c r="C79" s="9">
        <v>2.7778779999999998</v>
      </c>
      <c r="D79" s="6">
        <v>2.495072</v>
      </c>
      <c r="E79" s="6">
        <v>3.0606840000000002</v>
      </c>
      <c r="F79" s="8">
        <v>76</v>
      </c>
      <c r="G79" s="1">
        <v>48</v>
      </c>
      <c r="H79" s="1">
        <v>109</v>
      </c>
      <c r="I79" s="7">
        <f>(C79-1)*100/($C$4-1)</f>
        <v>56.877298801943681</v>
      </c>
      <c r="J79" s="6">
        <v>2.714286</v>
      </c>
      <c r="K79" s="1">
        <v>56</v>
      </c>
      <c r="L79" s="6">
        <v>2.5207030000000001</v>
      </c>
      <c r="M79" s="1">
        <v>86</v>
      </c>
      <c r="N79" s="6">
        <v>2.71821</v>
      </c>
      <c r="O79" s="1">
        <v>84</v>
      </c>
      <c r="P79" s="6">
        <v>2.6394799999999998</v>
      </c>
      <c r="Q79" s="1">
        <v>93</v>
      </c>
      <c r="R79" s="6">
        <v>2.9728129999999999</v>
      </c>
      <c r="S79" s="1">
        <v>64</v>
      </c>
      <c r="T79" s="6">
        <v>3.0789469999999999</v>
      </c>
      <c r="U79" s="1">
        <v>90</v>
      </c>
    </row>
    <row r="80" spans="1:21" x14ac:dyDescent="0.2">
      <c r="A80" s="1" t="s">
        <v>157</v>
      </c>
      <c r="B80" s="1" t="s">
        <v>156</v>
      </c>
      <c r="C80" s="9">
        <v>2.7740719999999999</v>
      </c>
      <c r="D80" s="6">
        <v>2.5386899999999999</v>
      </c>
      <c r="E80" s="6">
        <v>3.009455</v>
      </c>
      <c r="F80" s="8">
        <v>77</v>
      </c>
      <c r="G80" s="1">
        <v>53</v>
      </c>
      <c r="H80" s="1">
        <v>104</v>
      </c>
      <c r="I80" s="7">
        <f>(C80-1)*100/($C$4-1)</f>
        <v>56.755538479109269</v>
      </c>
      <c r="J80" s="6">
        <v>2.9</v>
      </c>
      <c r="K80" s="1">
        <v>44</v>
      </c>
      <c r="L80" s="6">
        <v>2.8462499999999999</v>
      </c>
      <c r="M80" s="1">
        <v>58</v>
      </c>
      <c r="N80" s="6">
        <v>2.6760830000000002</v>
      </c>
      <c r="O80" s="1">
        <v>91</v>
      </c>
      <c r="P80" s="6">
        <v>2.7809720000000002</v>
      </c>
      <c r="Q80" s="1">
        <v>70</v>
      </c>
      <c r="R80" s="6">
        <v>2.5909719999999998</v>
      </c>
      <c r="S80" s="1">
        <v>93</v>
      </c>
      <c r="T80" s="6">
        <v>2.860055</v>
      </c>
      <c r="U80" s="1">
        <v>115</v>
      </c>
    </row>
    <row r="81" spans="1:21" x14ac:dyDescent="0.2">
      <c r="A81" s="1" t="s">
        <v>155</v>
      </c>
      <c r="B81" s="1" t="s">
        <v>154</v>
      </c>
      <c r="C81" s="9">
        <v>2.773218</v>
      </c>
      <c r="D81" s="6">
        <v>2.4834019999999999</v>
      </c>
      <c r="E81" s="6">
        <v>3.0630329999999999</v>
      </c>
      <c r="F81" s="8">
        <v>78</v>
      </c>
      <c r="G81" s="1">
        <v>47</v>
      </c>
      <c r="H81" s="1">
        <v>112</v>
      </c>
      <c r="I81" s="7">
        <f>(C81-1)*100/($C$4-1)</f>
        <v>56.728217586912585</v>
      </c>
      <c r="J81" s="6">
        <v>2.4268770000000002</v>
      </c>
      <c r="K81" s="1">
        <v>86</v>
      </c>
      <c r="L81" s="6">
        <v>2.4268770000000002</v>
      </c>
      <c r="M81" s="1">
        <v>99</v>
      </c>
      <c r="N81" s="6">
        <v>2.8417669999999999</v>
      </c>
      <c r="O81" s="1">
        <v>70</v>
      </c>
      <c r="P81" s="6">
        <v>2.6468560000000001</v>
      </c>
      <c r="Q81" s="1">
        <v>91</v>
      </c>
      <c r="R81" s="6">
        <v>2.6450399999999998</v>
      </c>
      <c r="S81" s="1">
        <v>88</v>
      </c>
      <c r="T81" s="6">
        <v>3.5780280000000002</v>
      </c>
      <c r="U81" s="1">
        <v>45</v>
      </c>
    </row>
    <row r="82" spans="1:21" x14ac:dyDescent="0.2">
      <c r="A82" s="1" t="s">
        <v>153</v>
      </c>
      <c r="B82" s="1" t="s">
        <v>152</v>
      </c>
      <c r="C82" s="9">
        <v>2.757479</v>
      </c>
      <c r="D82" s="6">
        <v>2.6057510000000002</v>
      </c>
      <c r="E82" s="6">
        <v>2.909208</v>
      </c>
      <c r="F82" s="8">
        <v>79</v>
      </c>
      <c r="G82" s="1">
        <v>62</v>
      </c>
      <c r="H82" s="1">
        <v>91</v>
      </c>
      <c r="I82" s="7">
        <f>(C82-1)*100/($C$4-1)</f>
        <v>56.22470058189662</v>
      </c>
      <c r="J82" s="6">
        <v>2.3592689999999998</v>
      </c>
      <c r="K82" s="1">
        <v>98</v>
      </c>
      <c r="L82" s="6">
        <v>2.6198000000000001</v>
      </c>
      <c r="M82" s="1">
        <v>76</v>
      </c>
      <c r="N82" s="6">
        <v>2.8634970000000002</v>
      </c>
      <c r="O82" s="1">
        <v>67</v>
      </c>
      <c r="P82" s="6">
        <v>2.6473520000000001</v>
      </c>
      <c r="Q82" s="1">
        <v>90</v>
      </c>
      <c r="R82" s="6">
        <v>2.5826069999999999</v>
      </c>
      <c r="S82" s="1">
        <v>96</v>
      </c>
      <c r="T82" s="6">
        <v>3.4215520000000001</v>
      </c>
      <c r="U82" s="1">
        <v>59</v>
      </c>
    </row>
    <row r="83" spans="1:21" x14ac:dyDescent="0.2">
      <c r="A83" s="1" t="s">
        <v>151</v>
      </c>
      <c r="B83" s="1" t="s">
        <v>150</v>
      </c>
      <c r="C83" s="9">
        <v>2.7528280000000001</v>
      </c>
      <c r="D83" s="6">
        <v>2.514675</v>
      </c>
      <c r="E83" s="6">
        <v>2.99098</v>
      </c>
      <c r="F83" s="8">
        <v>80</v>
      </c>
      <c r="G83" s="1">
        <v>55</v>
      </c>
      <c r="H83" s="1">
        <v>107</v>
      </c>
      <c r="I83" s="7">
        <f>(C83-1)*100/($C$4-1)</f>
        <v>56.075907291958927</v>
      </c>
      <c r="J83" s="6">
        <v>2.6875</v>
      </c>
      <c r="K83" s="1">
        <v>57</v>
      </c>
      <c r="L83" s="6">
        <v>2.7699569999999998</v>
      </c>
      <c r="M83" s="1">
        <v>66</v>
      </c>
      <c r="N83" s="6">
        <v>2.722842</v>
      </c>
      <c r="O83" s="1">
        <v>81</v>
      </c>
      <c r="P83" s="6">
        <v>2.692253</v>
      </c>
      <c r="Q83" s="1">
        <v>80</v>
      </c>
      <c r="R83" s="6">
        <v>2.6529449999999999</v>
      </c>
      <c r="S83" s="1">
        <v>87</v>
      </c>
      <c r="T83" s="6">
        <v>2.987724</v>
      </c>
      <c r="U83" s="1">
        <v>98</v>
      </c>
    </row>
    <row r="84" spans="1:21" x14ac:dyDescent="0.2">
      <c r="A84" s="1" t="s">
        <v>149</v>
      </c>
      <c r="B84" s="1" t="s">
        <v>148</v>
      </c>
      <c r="C84" s="9">
        <v>2.7504209999999998</v>
      </c>
      <c r="D84" s="6">
        <v>2.4677280000000001</v>
      </c>
      <c r="E84" s="6">
        <v>3.0331130000000002</v>
      </c>
      <c r="F84" s="8">
        <v>81</v>
      </c>
      <c r="G84" s="1">
        <v>50</v>
      </c>
      <c r="H84" s="1">
        <v>116</v>
      </c>
      <c r="I84" s="7">
        <f>(C84-1)*100/($C$4-1)</f>
        <v>55.998903325310877</v>
      </c>
      <c r="J84" s="6">
        <v>2.5833330000000001</v>
      </c>
      <c r="K84" s="1">
        <v>71</v>
      </c>
      <c r="L84" s="6">
        <v>2.5</v>
      </c>
      <c r="M84" s="1">
        <v>89</v>
      </c>
      <c r="N84" s="6">
        <v>3</v>
      </c>
      <c r="O84" s="1">
        <v>50</v>
      </c>
      <c r="P84" s="6">
        <v>2.795696</v>
      </c>
      <c r="Q84" s="1">
        <v>68</v>
      </c>
      <c r="R84" s="6">
        <v>2.6542509999999999</v>
      </c>
      <c r="S84" s="1">
        <v>86</v>
      </c>
      <c r="T84" s="6">
        <v>2.9013279999999999</v>
      </c>
      <c r="U84" s="1">
        <v>110</v>
      </c>
    </row>
    <row r="85" spans="1:21" x14ac:dyDescent="0.2">
      <c r="A85" s="1" t="s">
        <v>147</v>
      </c>
      <c r="B85" s="1" t="s">
        <v>146</v>
      </c>
      <c r="C85" s="9">
        <v>2.7464439999999999</v>
      </c>
      <c r="D85" s="6">
        <v>2.5787620000000002</v>
      </c>
      <c r="E85" s="6">
        <v>2.914126</v>
      </c>
      <c r="F85" s="8">
        <v>82</v>
      </c>
      <c r="G85" s="1">
        <v>62</v>
      </c>
      <c r="H85" s="1">
        <v>97</v>
      </c>
      <c r="I85" s="7">
        <f>(C85-1)*100/($C$4-1)</f>
        <v>55.871672425701725</v>
      </c>
      <c r="J85" s="6">
        <v>2.4674100000000001</v>
      </c>
      <c r="K85" s="1">
        <v>80</v>
      </c>
      <c r="L85" s="6">
        <v>2.599993</v>
      </c>
      <c r="M85" s="1">
        <v>80</v>
      </c>
      <c r="N85" s="6">
        <v>2.853923</v>
      </c>
      <c r="O85" s="1">
        <v>69</v>
      </c>
      <c r="P85" s="6">
        <v>2.5284620000000002</v>
      </c>
      <c r="Q85" s="1">
        <v>101</v>
      </c>
      <c r="R85" s="6">
        <v>2.8059460000000001</v>
      </c>
      <c r="S85" s="1">
        <v>72</v>
      </c>
      <c r="T85" s="6">
        <v>3.1861540000000002</v>
      </c>
      <c r="U85" s="1">
        <v>78</v>
      </c>
    </row>
    <row r="86" spans="1:21" x14ac:dyDescent="0.2">
      <c r="A86" s="1" t="s">
        <v>145</v>
      </c>
      <c r="B86" s="1" t="s">
        <v>144</v>
      </c>
      <c r="C86" s="9">
        <v>2.7315179999999999</v>
      </c>
      <c r="D86" s="6">
        <v>2.5074779999999999</v>
      </c>
      <c r="E86" s="6">
        <v>2.955559</v>
      </c>
      <c r="F86" s="8">
        <v>83</v>
      </c>
      <c r="G86" s="1">
        <v>58</v>
      </c>
      <c r="H86" s="1">
        <v>108</v>
      </c>
      <c r="I86" s="7">
        <f>(C86-1)*100/($C$4-1)</f>
        <v>55.394164654123578</v>
      </c>
      <c r="J86" s="6">
        <v>2.3119049999999999</v>
      </c>
      <c r="K86" s="1">
        <v>107</v>
      </c>
      <c r="L86" s="6">
        <v>2.3129149999999998</v>
      </c>
      <c r="M86" s="1">
        <v>114</v>
      </c>
      <c r="N86" s="6">
        <v>2.8962479999999999</v>
      </c>
      <c r="O86" s="1">
        <v>62</v>
      </c>
      <c r="P86" s="6">
        <v>2.730375</v>
      </c>
      <c r="Q86" s="1">
        <v>78</v>
      </c>
      <c r="R86" s="6">
        <v>2.6923520000000001</v>
      </c>
      <c r="S86" s="1">
        <v>84</v>
      </c>
      <c r="T86" s="6">
        <v>3.3591489999999999</v>
      </c>
      <c r="U86" s="1">
        <v>65</v>
      </c>
    </row>
    <row r="87" spans="1:21" x14ac:dyDescent="0.2">
      <c r="A87" s="1" t="s">
        <v>143</v>
      </c>
      <c r="B87" s="1" t="s">
        <v>142</v>
      </c>
      <c r="C87" s="9">
        <v>2.7236989999999999</v>
      </c>
      <c r="D87" s="6">
        <v>2.4323700000000001</v>
      </c>
      <c r="E87" s="6">
        <v>3.0150269999999999</v>
      </c>
      <c r="F87" s="8">
        <v>84</v>
      </c>
      <c r="G87" s="1">
        <v>53</v>
      </c>
      <c r="H87" s="1">
        <v>122</v>
      </c>
      <c r="I87" s="7">
        <f>(C87-1)*100/($C$4-1)</f>
        <v>55.144021731306374</v>
      </c>
      <c r="J87" s="6">
        <v>2.8</v>
      </c>
      <c r="K87" s="1">
        <v>50</v>
      </c>
      <c r="L87" s="6">
        <v>2.4</v>
      </c>
      <c r="M87" s="1">
        <v>108</v>
      </c>
      <c r="N87" s="6">
        <v>2.4</v>
      </c>
      <c r="O87" s="1">
        <v>124</v>
      </c>
      <c r="P87" s="6">
        <v>2.8</v>
      </c>
      <c r="Q87" s="1">
        <v>67</v>
      </c>
      <c r="R87" s="6">
        <v>2.8</v>
      </c>
      <c r="S87" s="1">
        <v>74</v>
      </c>
      <c r="T87" s="6">
        <v>3.1333329999999999</v>
      </c>
      <c r="U87" s="1">
        <v>84</v>
      </c>
    </row>
    <row r="88" spans="1:21" x14ac:dyDescent="0.2">
      <c r="A88" s="1" t="s">
        <v>141</v>
      </c>
      <c r="B88" s="1" t="s">
        <v>140</v>
      </c>
      <c r="C88" s="9">
        <v>2.7001719999999998</v>
      </c>
      <c r="D88" s="6">
        <v>2.5494599999999998</v>
      </c>
      <c r="E88" s="6">
        <v>2.8508849999999999</v>
      </c>
      <c r="F88" s="8">
        <v>85</v>
      </c>
      <c r="G88" s="1">
        <v>68</v>
      </c>
      <c r="H88" s="1">
        <v>102</v>
      </c>
      <c r="I88" s="7">
        <f>(C88-1)*100/($C$4-1)</f>
        <v>54.391353545461605</v>
      </c>
      <c r="J88" s="6">
        <v>2.5257079999999998</v>
      </c>
      <c r="K88" s="1">
        <v>76</v>
      </c>
      <c r="L88" s="6">
        <v>2.607577</v>
      </c>
      <c r="M88" s="1">
        <v>77</v>
      </c>
      <c r="N88" s="6">
        <v>2.8292259999999998</v>
      </c>
      <c r="O88" s="1">
        <v>73</v>
      </c>
      <c r="P88" s="6">
        <v>2.7416680000000002</v>
      </c>
      <c r="Q88" s="1">
        <v>76</v>
      </c>
      <c r="R88" s="6">
        <v>2.4884499999999998</v>
      </c>
      <c r="S88" s="1">
        <v>110</v>
      </c>
      <c r="T88" s="6">
        <v>2.9667110000000001</v>
      </c>
      <c r="U88" s="1">
        <v>100</v>
      </c>
    </row>
    <row r="89" spans="1:21" x14ac:dyDescent="0.2">
      <c r="A89" s="1" t="s">
        <v>139</v>
      </c>
      <c r="B89" s="1" t="s">
        <v>138</v>
      </c>
      <c r="C89" s="9">
        <v>2.6948059999999998</v>
      </c>
      <c r="D89" s="6">
        <v>2.4617960000000001</v>
      </c>
      <c r="E89" s="6">
        <v>2.9278170000000001</v>
      </c>
      <c r="F89" s="8">
        <v>86</v>
      </c>
      <c r="G89" s="1">
        <v>61</v>
      </c>
      <c r="H89" s="1">
        <v>118</v>
      </c>
      <c r="I89" s="7">
        <f>(C89-1)*100/($C$4-1)</f>
        <v>54.219686206436528</v>
      </c>
      <c r="J89" s="6">
        <v>2.582967</v>
      </c>
      <c r="K89" s="1">
        <v>73</v>
      </c>
      <c r="L89" s="6">
        <v>2.6018309999999998</v>
      </c>
      <c r="M89" s="1">
        <v>79</v>
      </c>
      <c r="N89" s="6">
        <v>2.67326</v>
      </c>
      <c r="O89" s="1">
        <v>92</v>
      </c>
      <c r="P89" s="6">
        <v>2.7510379999999999</v>
      </c>
      <c r="Q89" s="1">
        <v>74</v>
      </c>
      <c r="R89" s="6">
        <v>2.8279610000000002</v>
      </c>
      <c r="S89" s="1">
        <v>70</v>
      </c>
      <c r="T89" s="6">
        <v>2.7282169999999999</v>
      </c>
      <c r="U89" s="1">
        <v>132</v>
      </c>
    </row>
    <row r="90" spans="1:21" x14ac:dyDescent="0.2">
      <c r="A90" s="1" t="s">
        <v>137</v>
      </c>
      <c r="B90" s="1" t="s">
        <v>136</v>
      </c>
      <c r="C90" s="9">
        <v>2.692196</v>
      </c>
      <c r="D90" s="6">
        <v>2.3491110000000002</v>
      </c>
      <c r="E90" s="6">
        <v>3.0352809999999999</v>
      </c>
      <c r="F90" s="8">
        <v>87</v>
      </c>
      <c r="G90" s="1">
        <v>50</v>
      </c>
      <c r="H90" s="1">
        <v>130</v>
      </c>
      <c r="I90" s="7">
        <f>(C90-1)*100/($C$4-1)</f>
        <v>54.136187929348303</v>
      </c>
      <c r="J90" s="6">
        <v>2.6666669999999999</v>
      </c>
      <c r="K90" s="1">
        <v>59</v>
      </c>
      <c r="L90" s="6">
        <v>2.4525250000000001</v>
      </c>
      <c r="M90" s="1">
        <v>96</v>
      </c>
      <c r="N90" s="6">
        <v>2.9070710000000002</v>
      </c>
      <c r="O90" s="1">
        <v>61</v>
      </c>
      <c r="P90" s="6">
        <v>2.4914139999999998</v>
      </c>
      <c r="Q90" s="1">
        <v>105</v>
      </c>
      <c r="R90" s="6">
        <v>2.4914139999999998</v>
      </c>
      <c r="S90" s="1">
        <v>109</v>
      </c>
      <c r="T90" s="6">
        <v>3.071596</v>
      </c>
      <c r="U90" s="1">
        <v>91</v>
      </c>
    </row>
    <row r="91" spans="1:21" x14ac:dyDescent="0.2">
      <c r="A91" s="1" t="s">
        <v>135</v>
      </c>
      <c r="B91" s="1" t="s">
        <v>134</v>
      </c>
      <c r="C91" s="9">
        <v>2.6536810000000002</v>
      </c>
      <c r="D91" s="6">
        <v>2.5155249999999998</v>
      </c>
      <c r="E91" s="6">
        <v>2.7918370000000001</v>
      </c>
      <c r="F91" s="8">
        <v>88</v>
      </c>
      <c r="G91" s="1">
        <v>76</v>
      </c>
      <c r="H91" s="1">
        <v>107</v>
      </c>
      <c r="I91" s="7">
        <f>(C91-1)*100/($C$4-1)</f>
        <v>52.904028487948587</v>
      </c>
      <c r="J91" s="6">
        <v>2.167414</v>
      </c>
      <c r="K91" s="1">
        <v>130</v>
      </c>
      <c r="L91" s="6">
        <v>2.405322</v>
      </c>
      <c r="M91" s="1">
        <v>105</v>
      </c>
      <c r="N91" s="6">
        <v>2.9133520000000002</v>
      </c>
      <c r="O91" s="1">
        <v>59</v>
      </c>
      <c r="P91" s="6">
        <v>2.635294</v>
      </c>
      <c r="Q91" s="1">
        <v>94</v>
      </c>
      <c r="R91" s="6">
        <v>2.7704949999999999</v>
      </c>
      <c r="S91" s="1">
        <v>77</v>
      </c>
      <c r="T91" s="6">
        <v>2.9686270000000001</v>
      </c>
      <c r="U91" s="1">
        <v>99</v>
      </c>
    </row>
    <row r="92" spans="1:21" x14ac:dyDescent="0.2">
      <c r="A92" s="1" t="s">
        <v>133</v>
      </c>
      <c r="B92" s="1" t="s">
        <v>132</v>
      </c>
      <c r="C92" s="9">
        <v>2.6530330000000002</v>
      </c>
      <c r="D92" s="6">
        <v>2.4476810000000002</v>
      </c>
      <c r="E92" s="6">
        <v>2.858384</v>
      </c>
      <c r="F92" s="8">
        <v>89</v>
      </c>
      <c r="G92" s="1">
        <v>66</v>
      </c>
      <c r="H92" s="1">
        <v>120</v>
      </c>
      <c r="I92" s="7">
        <f>(C92-1)*100/($C$4-1)</f>
        <v>52.883297881223221</v>
      </c>
      <c r="J92" s="6">
        <v>2.7272729999999998</v>
      </c>
      <c r="K92" s="1">
        <v>54</v>
      </c>
      <c r="L92" s="6">
        <v>2.7162540000000002</v>
      </c>
      <c r="M92" s="1">
        <v>69</v>
      </c>
      <c r="N92" s="6">
        <v>2.4940310000000001</v>
      </c>
      <c r="O92" s="1">
        <v>114</v>
      </c>
      <c r="P92" s="6">
        <v>2.649181</v>
      </c>
      <c r="Q92" s="1">
        <v>88</v>
      </c>
      <c r="R92" s="6">
        <v>2.8480650000000001</v>
      </c>
      <c r="S92" s="1">
        <v>67</v>
      </c>
      <c r="T92" s="6">
        <v>2.521458</v>
      </c>
      <c r="U92" s="1">
        <v>144</v>
      </c>
    </row>
    <row r="93" spans="1:21" x14ac:dyDescent="0.2">
      <c r="A93" s="1" t="s">
        <v>131</v>
      </c>
      <c r="B93" s="1" t="s">
        <v>130</v>
      </c>
      <c r="C93" s="9">
        <v>2.6132399999999998</v>
      </c>
      <c r="D93" s="6">
        <v>2.3215840000000001</v>
      </c>
      <c r="E93" s="6">
        <v>2.9048949999999998</v>
      </c>
      <c r="F93" s="8">
        <v>90</v>
      </c>
      <c r="G93" s="1">
        <v>62</v>
      </c>
      <c r="H93" s="1">
        <v>134</v>
      </c>
      <c r="I93" s="7">
        <f>(C93-1)*100/($C$4-1)</f>
        <v>51.610253076559594</v>
      </c>
      <c r="J93" s="6">
        <v>2.399105</v>
      </c>
      <c r="K93" s="1">
        <v>89</v>
      </c>
      <c r="L93" s="6">
        <v>2.3851990000000001</v>
      </c>
      <c r="M93" s="1">
        <v>109</v>
      </c>
      <c r="N93" s="6">
        <v>2.5969660000000001</v>
      </c>
      <c r="O93" s="1">
        <v>104</v>
      </c>
      <c r="P93" s="6">
        <v>2.5848930000000001</v>
      </c>
      <c r="Q93" s="1">
        <v>97</v>
      </c>
      <c r="R93" s="6">
        <v>2.731506</v>
      </c>
      <c r="S93" s="1">
        <v>82</v>
      </c>
      <c r="T93" s="6">
        <v>2.9535849999999999</v>
      </c>
      <c r="U93" s="1">
        <v>103</v>
      </c>
    </row>
    <row r="94" spans="1:21" x14ac:dyDescent="0.2">
      <c r="A94" s="1" t="s">
        <v>129</v>
      </c>
      <c r="B94" s="1" t="s">
        <v>128</v>
      </c>
      <c r="C94" s="9">
        <v>2.611583</v>
      </c>
      <c r="D94" s="6">
        <v>2.3796020000000002</v>
      </c>
      <c r="E94" s="6">
        <v>2.8435630000000001</v>
      </c>
      <c r="F94" s="8">
        <v>91</v>
      </c>
      <c r="G94" s="1">
        <v>68</v>
      </c>
      <c r="H94" s="1">
        <v>127</v>
      </c>
      <c r="I94" s="7">
        <f>(C94-1)*100/($C$4-1)</f>
        <v>51.557242867695543</v>
      </c>
      <c r="J94" s="6">
        <v>2.2352940000000001</v>
      </c>
      <c r="K94" s="1">
        <v>121</v>
      </c>
      <c r="L94" s="6">
        <v>2.7797559999999999</v>
      </c>
      <c r="M94" s="1">
        <v>65</v>
      </c>
      <c r="N94" s="6">
        <v>2.5761250000000002</v>
      </c>
      <c r="O94" s="1">
        <v>107</v>
      </c>
      <c r="P94" s="6">
        <v>2.6475529999999998</v>
      </c>
      <c r="Q94" s="1">
        <v>89</v>
      </c>
      <c r="R94" s="6">
        <v>2.5761250000000002</v>
      </c>
      <c r="S94" s="1">
        <v>98</v>
      </c>
      <c r="T94" s="6">
        <v>2.8738730000000001</v>
      </c>
      <c r="U94" s="1">
        <v>114</v>
      </c>
    </row>
    <row r="95" spans="1:21" x14ac:dyDescent="0.2">
      <c r="A95" s="1" t="s">
        <v>127</v>
      </c>
      <c r="B95" s="1" t="s">
        <v>126</v>
      </c>
      <c r="C95" s="9">
        <v>2.6038610000000002</v>
      </c>
      <c r="D95" s="6">
        <v>2.3911730000000002</v>
      </c>
      <c r="E95" s="6">
        <v>2.8165490000000002</v>
      </c>
      <c r="F95" s="8">
        <v>92</v>
      </c>
      <c r="G95" s="1">
        <v>73</v>
      </c>
      <c r="H95" s="1">
        <v>127</v>
      </c>
      <c r="I95" s="7">
        <f>(C95-1)*100/($C$4-1)</f>
        <v>51.310203137551746</v>
      </c>
      <c r="J95" s="6">
        <v>2.332503</v>
      </c>
      <c r="K95" s="1">
        <v>104</v>
      </c>
      <c r="L95" s="6">
        <v>2.5448780000000002</v>
      </c>
      <c r="M95" s="1">
        <v>84</v>
      </c>
      <c r="N95" s="6">
        <v>2.6216789999999999</v>
      </c>
      <c r="O95" s="1">
        <v>100</v>
      </c>
      <c r="P95" s="6">
        <v>2.4754740000000002</v>
      </c>
      <c r="Q95" s="1">
        <v>107</v>
      </c>
      <c r="R95" s="6">
        <v>2.35216</v>
      </c>
      <c r="S95" s="1">
        <v>125</v>
      </c>
      <c r="T95" s="6">
        <v>3.262124</v>
      </c>
      <c r="U95" s="1">
        <v>73</v>
      </c>
    </row>
    <row r="96" spans="1:21" x14ac:dyDescent="0.2">
      <c r="A96" s="1" t="s">
        <v>125</v>
      </c>
      <c r="B96" s="1" t="s">
        <v>124</v>
      </c>
      <c r="C96" s="9">
        <v>2.6014339999999998</v>
      </c>
      <c r="D96" s="6">
        <v>2.4389509999999999</v>
      </c>
      <c r="E96" s="6">
        <v>2.7639170000000002</v>
      </c>
      <c r="F96" s="8">
        <v>93</v>
      </c>
      <c r="G96" s="1">
        <v>79</v>
      </c>
      <c r="H96" s="1">
        <v>121</v>
      </c>
      <c r="I96" s="7">
        <f>(C96-1)*100/($C$4-1)</f>
        <v>51.232559337362787</v>
      </c>
      <c r="J96" s="6">
        <v>2.2842389999999999</v>
      </c>
      <c r="K96" s="1">
        <v>114</v>
      </c>
      <c r="L96" s="6">
        <v>2.4567649999999999</v>
      </c>
      <c r="M96" s="1">
        <v>95</v>
      </c>
      <c r="N96" s="6">
        <v>2.5683069999999999</v>
      </c>
      <c r="O96" s="1">
        <v>108</v>
      </c>
      <c r="P96" s="6">
        <v>2.5971039999999999</v>
      </c>
      <c r="Q96" s="1">
        <v>95</v>
      </c>
      <c r="R96" s="6">
        <v>2.596444</v>
      </c>
      <c r="S96" s="1">
        <v>92</v>
      </c>
      <c r="T96" s="6">
        <v>3.081696</v>
      </c>
      <c r="U96" s="1">
        <v>89</v>
      </c>
    </row>
    <row r="97" spans="1:21" x14ac:dyDescent="0.2">
      <c r="A97" s="1" t="s">
        <v>123</v>
      </c>
      <c r="B97" s="1" t="s">
        <v>122</v>
      </c>
      <c r="C97" s="9">
        <v>2.5958380000000001</v>
      </c>
      <c r="D97" s="6">
        <v>2.258829</v>
      </c>
      <c r="E97" s="6">
        <v>2.9328479999999999</v>
      </c>
      <c r="F97" s="8">
        <v>94</v>
      </c>
      <c r="G97" s="1">
        <v>61</v>
      </c>
      <c r="H97" s="1">
        <v>139</v>
      </c>
      <c r="I97" s="7">
        <f>(C97-1)*100/($C$4-1)</f>
        <v>51.05353391261729</v>
      </c>
      <c r="J97" s="6">
        <v>2.393939</v>
      </c>
      <c r="K97" s="1">
        <v>90</v>
      </c>
      <c r="L97" s="6">
        <v>2.6818179999999998</v>
      </c>
      <c r="M97" s="1">
        <v>73</v>
      </c>
      <c r="N97" s="6">
        <v>2.606061</v>
      </c>
      <c r="O97" s="1">
        <v>103</v>
      </c>
      <c r="P97" s="6">
        <v>2.5818180000000002</v>
      </c>
      <c r="Q97" s="1">
        <v>98</v>
      </c>
      <c r="R97" s="6">
        <v>2.5818180000000002</v>
      </c>
      <c r="S97" s="1">
        <v>97</v>
      </c>
      <c r="T97" s="6">
        <v>2.7362120000000001</v>
      </c>
      <c r="U97" s="1">
        <v>128</v>
      </c>
    </row>
    <row r="98" spans="1:21" x14ac:dyDescent="0.2">
      <c r="A98" s="1" t="s">
        <v>121</v>
      </c>
      <c r="B98" s="1" t="s">
        <v>120</v>
      </c>
      <c r="C98" s="9">
        <v>2.584962</v>
      </c>
      <c r="D98" s="6">
        <v>2.4940760000000002</v>
      </c>
      <c r="E98" s="6">
        <v>2.6758479999999998</v>
      </c>
      <c r="F98" s="8">
        <v>95</v>
      </c>
      <c r="G98" s="1">
        <v>88</v>
      </c>
      <c r="H98" s="1">
        <v>109</v>
      </c>
      <c r="I98" s="7">
        <f>(C98-1)*100/($C$4-1)</f>
        <v>50.70559243307261</v>
      </c>
      <c r="J98" s="6">
        <v>2.035644</v>
      </c>
      <c r="K98" s="1">
        <v>138</v>
      </c>
      <c r="L98" s="6">
        <v>2.4462329999999999</v>
      </c>
      <c r="M98" s="1">
        <v>97</v>
      </c>
      <c r="N98" s="6">
        <v>2.5877509999999999</v>
      </c>
      <c r="O98" s="1">
        <v>106</v>
      </c>
      <c r="P98" s="6">
        <v>2.6465209999999999</v>
      </c>
      <c r="Q98" s="1">
        <v>92</v>
      </c>
      <c r="R98" s="6">
        <v>2.75969</v>
      </c>
      <c r="S98" s="1">
        <v>79</v>
      </c>
      <c r="T98" s="6">
        <v>3.0164010000000001</v>
      </c>
      <c r="U98" s="1">
        <v>94</v>
      </c>
    </row>
    <row r="99" spans="1:21" x14ac:dyDescent="0.2">
      <c r="A99" s="1" t="s">
        <v>119</v>
      </c>
      <c r="B99" s="1" t="s">
        <v>118</v>
      </c>
      <c r="C99" s="9">
        <v>2.5801479999999999</v>
      </c>
      <c r="D99" s="6">
        <v>2.2631480000000002</v>
      </c>
      <c r="E99" s="6">
        <v>2.8971480000000001</v>
      </c>
      <c r="F99" s="8">
        <v>96</v>
      </c>
      <c r="G99" s="1">
        <v>62</v>
      </c>
      <c r="H99" s="1">
        <v>139</v>
      </c>
      <c r="I99" s="7">
        <f>(C99-1)*100/($C$4-1)</f>
        <v>50.551584499776531</v>
      </c>
      <c r="J99" s="6">
        <v>2.214286</v>
      </c>
      <c r="K99" s="1">
        <v>124</v>
      </c>
      <c r="L99" s="6">
        <v>2.4106290000000001</v>
      </c>
      <c r="M99" s="1">
        <v>102</v>
      </c>
      <c r="N99" s="6">
        <v>2.714286</v>
      </c>
      <c r="O99" s="1">
        <v>85</v>
      </c>
      <c r="P99" s="6">
        <v>2.376395</v>
      </c>
      <c r="Q99" s="1">
        <v>119</v>
      </c>
      <c r="R99" s="6">
        <v>2.6071650000000002</v>
      </c>
      <c r="S99" s="1">
        <v>91</v>
      </c>
      <c r="T99" s="6">
        <v>3.1121029999999998</v>
      </c>
      <c r="U99" s="1">
        <v>86</v>
      </c>
    </row>
    <row r="100" spans="1:21" x14ac:dyDescent="0.2">
      <c r="A100" s="1" t="s">
        <v>117</v>
      </c>
      <c r="B100" s="1" t="s">
        <v>116</v>
      </c>
      <c r="C100" s="9">
        <v>2.5791659999999998</v>
      </c>
      <c r="D100" s="6">
        <v>2.3153969999999999</v>
      </c>
      <c r="E100" s="6">
        <v>2.8429359999999999</v>
      </c>
      <c r="F100" s="8">
        <v>97</v>
      </c>
      <c r="G100" s="1">
        <v>68</v>
      </c>
      <c r="H100" s="1">
        <v>134</v>
      </c>
      <c r="I100" s="7">
        <f>(C100-1)*100/($C$4-1)</f>
        <v>50.520168672918054</v>
      </c>
      <c r="J100" s="6">
        <v>2.285714</v>
      </c>
      <c r="K100" s="1">
        <v>112</v>
      </c>
      <c r="L100" s="6">
        <v>2.459184</v>
      </c>
      <c r="M100" s="1">
        <v>94</v>
      </c>
      <c r="N100" s="6">
        <v>3.1258499999999998</v>
      </c>
      <c r="O100" s="1">
        <v>40</v>
      </c>
      <c r="P100" s="6">
        <v>2.2925170000000001</v>
      </c>
      <c r="Q100" s="1">
        <v>124</v>
      </c>
      <c r="R100" s="6">
        <v>2.459184</v>
      </c>
      <c r="S100" s="1">
        <v>115</v>
      </c>
      <c r="T100" s="6">
        <v>2.7653059999999998</v>
      </c>
      <c r="U100" s="1">
        <v>123</v>
      </c>
    </row>
    <row r="101" spans="1:21" x14ac:dyDescent="0.2">
      <c r="A101" s="1" t="s">
        <v>115</v>
      </c>
      <c r="B101" s="1" t="s">
        <v>114</v>
      </c>
      <c r="C101" s="9">
        <v>2.5732430000000002</v>
      </c>
      <c r="D101" s="6">
        <v>2.245409</v>
      </c>
      <c r="E101" s="6">
        <v>2.9010760000000002</v>
      </c>
      <c r="F101" s="8">
        <v>98</v>
      </c>
      <c r="G101" s="1">
        <v>62</v>
      </c>
      <c r="H101" s="1">
        <v>140</v>
      </c>
      <c r="I101" s="7">
        <f>(C101-1)*100/($C$4-1)</f>
        <v>50.330681969778752</v>
      </c>
      <c r="J101" s="6">
        <v>2.4515150000000001</v>
      </c>
      <c r="K101" s="1">
        <v>82</v>
      </c>
      <c r="L101" s="6">
        <v>2.0884849999999999</v>
      </c>
      <c r="M101" s="1">
        <v>134</v>
      </c>
      <c r="N101" s="6">
        <v>2.3341989999999999</v>
      </c>
      <c r="O101" s="1">
        <v>132</v>
      </c>
      <c r="P101" s="6">
        <v>2.7</v>
      </c>
      <c r="Q101" s="1">
        <v>79</v>
      </c>
      <c r="R101" s="6">
        <v>2.4770560000000001</v>
      </c>
      <c r="S101" s="1">
        <v>113</v>
      </c>
      <c r="T101" s="6">
        <v>3.3341989999999999</v>
      </c>
      <c r="U101" s="1">
        <v>66</v>
      </c>
    </row>
    <row r="102" spans="1:21" x14ac:dyDescent="0.2">
      <c r="A102" s="1" t="s">
        <v>113</v>
      </c>
      <c r="B102" s="1" t="s">
        <v>112</v>
      </c>
      <c r="C102" s="9">
        <v>2.5647549999999999</v>
      </c>
      <c r="D102" s="6">
        <v>2.2585310000000001</v>
      </c>
      <c r="E102" s="6">
        <v>2.870978</v>
      </c>
      <c r="F102" s="8">
        <v>99</v>
      </c>
      <c r="G102" s="1">
        <v>64</v>
      </c>
      <c r="H102" s="1">
        <v>139</v>
      </c>
      <c r="I102" s="7">
        <f>(C102-1)*100/($C$4-1)</f>
        <v>50.059136615018232</v>
      </c>
      <c r="J102" s="6">
        <v>2.2352940000000001</v>
      </c>
      <c r="K102" s="1">
        <v>120</v>
      </c>
      <c r="L102" s="6">
        <v>2.6018460000000001</v>
      </c>
      <c r="M102" s="1">
        <v>78</v>
      </c>
      <c r="N102" s="6">
        <v>2.6645910000000002</v>
      </c>
      <c r="O102" s="1">
        <v>95</v>
      </c>
      <c r="P102" s="6">
        <v>2.6645910000000002</v>
      </c>
      <c r="Q102" s="1">
        <v>86</v>
      </c>
      <c r="R102" s="6">
        <v>2.4136099999999998</v>
      </c>
      <c r="S102" s="1">
        <v>120</v>
      </c>
      <c r="T102" s="6">
        <v>2.7907860000000002</v>
      </c>
      <c r="U102" s="1">
        <v>120</v>
      </c>
    </row>
    <row r="103" spans="1:21" x14ac:dyDescent="0.2">
      <c r="A103" s="1" t="s">
        <v>111</v>
      </c>
      <c r="B103" s="1" t="s">
        <v>110</v>
      </c>
      <c r="C103" s="9">
        <v>2.5643690000000001</v>
      </c>
      <c r="D103" s="6">
        <v>2.34517</v>
      </c>
      <c r="E103" s="6">
        <v>2.7835679999999998</v>
      </c>
      <c r="F103" s="8">
        <v>100</v>
      </c>
      <c r="G103" s="1">
        <v>76</v>
      </c>
      <c r="H103" s="1">
        <v>130</v>
      </c>
      <c r="I103" s="7">
        <f>(C103-1)*100/($C$4-1)</f>
        <v>50.046787827678756</v>
      </c>
      <c r="J103" s="6">
        <v>2.2676280000000002</v>
      </c>
      <c r="K103" s="1">
        <v>116</v>
      </c>
      <c r="L103" s="6">
        <v>2.37602</v>
      </c>
      <c r="M103" s="1">
        <v>110</v>
      </c>
      <c r="N103" s="6">
        <v>2.6538460000000001</v>
      </c>
      <c r="O103" s="1">
        <v>96</v>
      </c>
      <c r="P103" s="6">
        <v>2.4038460000000001</v>
      </c>
      <c r="Q103" s="1">
        <v>115</v>
      </c>
      <c r="R103" s="6">
        <v>2.570513</v>
      </c>
      <c r="S103" s="1">
        <v>99</v>
      </c>
      <c r="T103" s="6">
        <v>3.070513</v>
      </c>
      <c r="U103" s="1">
        <v>92</v>
      </c>
    </row>
    <row r="104" spans="1:21" x14ac:dyDescent="0.2">
      <c r="A104" s="1" t="s">
        <v>109</v>
      </c>
      <c r="B104" s="1" t="s">
        <v>108</v>
      </c>
      <c r="C104" s="9">
        <v>2.5623330000000002</v>
      </c>
      <c r="D104" s="6">
        <v>2.2341259999999998</v>
      </c>
      <c r="E104" s="6">
        <v>2.890539</v>
      </c>
      <c r="F104" s="8">
        <v>101</v>
      </c>
      <c r="G104" s="1">
        <v>62</v>
      </c>
      <c r="H104" s="1">
        <v>142</v>
      </c>
      <c r="I104" s="7">
        <f>(C104-1)*100/($C$4-1)</f>
        <v>49.981652773214527</v>
      </c>
      <c r="J104" s="6">
        <v>2.29779</v>
      </c>
      <c r="K104" s="1">
        <v>108</v>
      </c>
      <c r="L104" s="6">
        <v>2.1977899999999999</v>
      </c>
      <c r="M104" s="1">
        <v>128</v>
      </c>
      <c r="N104" s="6">
        <v>2.6121210000000001</v>
      </c>
      <c r="O104" s="1">
        <v>101</v>
      </c>
      <c r="P104" s="6">
        <v>2.50101</v>
      </c>
      <c r="Q104" s="1">
        <v>103</v>
      </c>
      <c r="R104" s="6">
        <v>2.770051</v>
      </c>
      <c r="S104" s="1">
        <v>78</v>
      </c>
      <c r="T104" s="6">
        <v>2.9454549999999999</v>
      </c>
      <c r="U104" s="1">
        <v>104</v>
      </c>
    </row>
    <row r="105" spans="1:21" x14ac:dyDescent="0.2">
      <c r="A105" s="1" t="s">
        <v>107</v>
      </c>
      <c r="B105" s="1" t="s">
        <v>106</v>
      </c>
      <c r="C105" s="9">
        <v>2.5566339999999999</v>
      </c>
      <c r="D105" s="6">
        <v>2.2460420000000001</v>
      </c>
      <c r="E105" s="6">
        <v>2.8672260000000001</v>
      </c>
      <c r="F105" s="8">
        <v>102</v>
      </c>
      <c r="G105" s="1">
        <v>65</v>
      </c>
      <c r="H105" s="1">
        <v>140</v>
      </c>
      <c r="I105" s="7">
        <f>(C105-1)*100/($C$4-1)</f>
        <v>49.799332205733357</v>
      </c>
      <c r="J105" s="6">
        <v>2.2727270000000002</v>
      </c>
      <c r="K105" s="1">
        <v>115</v>
      </c>
      <c r="L105" s="6">
        <v>2.4842979999999999</v>
      </c>
      <c r="M105" s="1">
        <v>91</v>
      </c>
      <c r="N105" s="6">
        <v>2.8842979999999998</v>
      </c>
      <c r="O105" s="1">
        <v>63</v>
      </c>
      <c r="P105" s="6">
        <v>2.1743800000000002</v>
      </c>
      <c r="Q105" s="1">
        <v>137</v>
      </c>
      <c r="R105" s="6">
        <v>2.5473140000000001</v>
      </c>
      <c r="S105" s="1">
        <v>104</v>
      </c>
      <c r="T105" s="6">
        <v>2.9223140000000001</v>
      </c>
      <c r="U105" s="1">
        <v>106</v>
      </c>
    </row>
    <row r="106" spans="1:21" x14ac:dyDescent="0.2">
      <c r="A106" s="1" t="s">
        <v>105</v>
      </c>
      <c r="B106" s="1" t="s">
        <v>104</v>
      </c>
      <c r="C106" s="9">
        <v>2.5491139999999999</v>
      </c>
      <c r="D106" s="6">
        <v>2.3439260000000002</v>
      </c>
      <c r="E106" s="6">
        <v>2.7543009999999999</v>
      </c>
      <c r="F106" s="8">
        <v>103</v>
      </c>
      <c r="G106" s="1">
        <v>80</v>
      </c>
      <c r="H106" s="1">
        <v>131</v>
      </c>
      <c r="I106" s="7">
        <f>(C106-1)*100/($C$4-1)</f>
        <v>49.558754794352694</v>
      </c>
      <c r="J106" s="6">
        <v>2.3146520000000002</v>
      </c>
      <c r="K106" s="1">
        <v>105</v>
      </c>
      <c r="L106" s="6">
        <v>2.2000000000000002</v>
      </c>
      <c r="M106" s="1">
        <v>127</v>
      </c>
      <c r="N106" s="6">
        <v>2.6697799999999998</v>
      </c>
      <c r="O106" s="1">
        <v>93</v>
      </c>
      <c r="P106" s="6">
        <v>2.268132</v>
      </c>
      <c r="Q106" s="1">
        <v>127</v>
      </c>
      <c r="R106" s="6">
        <v>2.498901</v>
      </c>
      <c r="S106" s="1">
        <v>107</v>
      </c>
      <c r="T106" s="6">
        <v>3.268132</v>
      </c>
      <c r="U106" s="1">
        <v>71</v>
      </c>
    </row>
    <row r="107" spans="1:21" x14ac:dyDescent="0.2">
      <c r="A107" s="1" t="s">
        <v>103</v>
      </c>
      <c r="B107" s="1" t="s">
        <v>102</v>
      </c>
      <c r="C107" s="9">
        <v>2.5452270000000001</v>
      </c>
      <c r="D107" s="6">
        <v>2.3736329999999999</v>
      </c>
      <c r="E107" s="6">
        <v>2.7168209999999999</v>
      </c>
      <c r="F107" s="8">
        <v>104</v>
      </c>
      <c r="G107" s="1">
        <v>85</v>
      </c>
      <c r="H107" s="1">
        <v>128</v>
      </c>
      <c r="I107" s="7">
        <f>(C107-1)*100/($C$4-1)</f>
        <v>49.434403145677628</v>
      </c>
      <c r="J107" s="6">
        <v>2.2419180000000001</v>
      </c>
      <c r="K107" s="1">
        <v>119</v>
      </c>
      <c r="L107" s="6">
        <v>2.4705879999999998</v>
      </c>
      <c r="M107" s="1">
        <v>93</v>
      </c>
      <c r="N107" s="6">
        <v>2.4705879999999998</v>
      </c>
      <c r="O107" s="1">
        <v>117</v>
      </c>
      <c r="P107" s="6">
        <v>2.6825260000000002</v>
      </c>
      <c r="Q107" s="1">
        <v>81</v>
      </c>
      <c r="R107" s="6">
        <v>2.4325260000000002</v>
      </c>
      <c r="S107" s="1">
        <v>118</v>
      </c>
      <c r="T107" s="6">
        <v>2.9591980000000002</v>
      </c>
      <c r="U107" s="1">
        <v>102</v>
      </c>
    </row>
    <row r="108" spans="1:21" x14ac:dyDescent="0.2">
      <c r="A108" s="1" t="s">
        <v>101</v>
      </c>
      <c r="B108" s="1" t="s">
        <v>100</v>
      </c>
      <c r="C108" s="9">
        <v>2.5332249999999998</v>
      </c>
      <c r="D108" s="6">
        <v>2.3792770000000001</v>
      </c>
      <c r="E108" s="6">
        <v>2.6871719999999999</v>
      </c>
      <c r="F108" s="8">
        <v>105</v>
      </c>
      <c r="G108" s="1">
        <v>88</v>
      </c>
      <c r="H108" s="1">
        <v>127</v>
      </c>
      <c r="I108" s="7">
        <f>(C108-1)*100/($C$4-1)</f>
        <v>49.050439037779931</v>
      </c>
      <c r="J108" s="6">
        <v>2.3922859999999999</v>
      </c>
      <c r="K108" s="1">
        <v>91</v>
      </c>
      <c r="L108" s="6">
        <v>2.350492</v>
      </c>
      <c r="M108" s="1">
        <v>111</v>
      </c>
      <c r="N108" s="6">
        <v>2.7019760000000002</v>
      </c>
      <c r="O108" s="1">
        <v>86</v>
      </c>
      <c r="P108" s="6">
        <v>2.4415840000000002</v>
      </c>
      <c r="Q108" s="1">
        <v>109</v>
      </c>
      <c r="R108" s="6">
        <v>2.350492</v>
      </c>
      <c r="S108" s="1">
        <v>126</v>
      </c>
      <c r="T108" s="6">
        <v>2.9038870000000001</v>
      </c>
      <c r="U108" s="1">
        <v>108</v>
      </c>
    </row>
    <row r="109" spans="1:21" x14ac:dyDescent="0.2">
      <c r="A109" s="1" t="s">
        <v>99</v>
      </c>
      <c r="B109" s="1" t="s">
        <v>98</v>
      </c>
      <c r="C109" s="9">
        <v>2.5277090000000002</v>
      </c>
      <c r="D109" s="6">
        <v>2.3544659999999999</v>
      </c>
      <c r="E109" s="6">
        <v>2.7009530000000002</v>
      </c>
      <c r="F109" s="8">
        <v>106</v>
      </c>
      <c r="G109" s="1">
        <v>85</v>
      </c>
      <c r="H109" s="1">
        <v>129</v>
      </c>
      <c r="I109" s="7">
        <f>(C109-1)*100/($C$4-1)</f>
        <v>48.873972947198062</v>
      </c>
      <c r="J109" s="6">
        <v>2.3684210000000001</v>
      </c>
      <c r="K109" s="1">
        <v>96</v>
      </c>
      <c r="L109" s="6">
        <v>2.2444600000000001</v>
      </c>
      <c r="M109" s="1">
        <v>121</v>
      </c>
      <c r="N109" s="6">
        <v>2.3694039999999998</v>
      </c>
      <c r="O109" s="1">
        <v>128</v>
      </c>
      <c r="P109" s="6">
        <v>2.408433</v>
      </c>
      <c r="Q109" s="1">
        <v>114</v>
      </c>
      <c r="R109" s="6">
        <v>2.551291</v>
      </c>
      <c r="S109" s="1">
        <v>103</v>
      </c>
      <c r="T109" s="6">
        <v>3.1941480000000002</v>
      </c>
      <c r="U109" s="1">
        <v>76</v>
      </c>
    </row>
    <row r="110" spans="1:21" x14ac:dyDescent="0.2">
      <c r="A110" s="1" t="s">
        <v>97</v>
      </c>
      <c r="B110" s="1" t="s">
        <v>96</v>
      </c>
      <c r="C110" s="9">
        <v>2.520324</v>
      </c>
      <c r="D110" s="6">
        <v>2.3824770000000002</v>
      </c>
      <c r="E110" s="6">
        <v>2.658172</v>
      </c>
      <c r="F110" s="8">
        <v>107</v>
      </c>
      <c r="G110" s="1">
        <v>88</v>
      </c>
      <c r="H110" s="1">
        <v>127</v>
      </c>
      <c r="I110" s="7">
        <f>(C110-1)*100/($C$4-1)</f>
        <v>48.637714412218514</v>
      </c>
      <c r="J110" s="6">
        <v>2.2916669999999999</v>
      </c>
      <c r="K110" s="1">
        <v>109</v>
      </c>
      <c r="L110" s="6">
        <v>2.293876</v>
      </c>
      <c r="M110" s="1">
        <v>117</v>
      </c>
      <c r="N110" s="6">
        <v>2.611882</v>
      </c>
      <c r="O110" s="1">
        <v>102</v>
      </c>
      <c r="P110" s="6">
        <v>2.4202669999999999</v>
      </c>
      <c r="Q110" s="1">
        <v>111</v>
      </c>
      <c r="R110" s="6">
        <v>2.5631240000000002</v>
      </c>
      <c r="S110" s="1">
        <v>101</v>
      </c>
      <c r="T110" s="6">
        <v>2.8964569999999998</v>
      </c>
      <c r="U110" s="1">
        <v>111</v>
      </c>
    </row>
    <row r="111" spans="1:21" x14ac:dyDescent="0.2">
      <c r="A111" s="1" t="s">
        <v>95</v>
      </c>
      <c r="B111" s="1" t="s">
        <v>94</v>
      </c>
      <c r="C111" s="9">
        <v>2.5076550000000002</v>
      </c>
      <c r="D111" s="6">
        <v>2.1302720000000002</v>
      </c>
      <c r="E111" s="6">
        <v>2.8850380000000002</v>
      </c>
      <c r="F111" s="8">
        <v>108</v>
      </c>
      <c r="G111" s="1">
        <v>64</v>
      </c>
      <c r="H111" s="1">
        <v>146</v>
      </c>
      <c r="I111" s="7">
        <f>(C111-1)*100/($C$4-1)</f>
        <v>48.232411855731627</v>
      </c>
      <c r="J111" s="6">
        <v>2.3333330000000001</v>
      </c>
      <c r="K111" s="1">
        <v>103</v>
      </c>
      <c r="L111" s="6">
        <v>2.0541670000000001</v>
      </c>
      <c r="M111" s="1">
        <v>136</v>
      </c>
      <c r="N111" s="6">
        <v>2.8055560000000002</v>
      </c>
      <c r="O111" s="1">
        <v>76</v>
      </c>
      <c r="P111" s="6">
        <v>2.6805560000000002</v>
      </c>
      <c r="Q111" s="1">
        <v>83</v>
      </c>
      <c r="R111" s="6">
        <v>2.3055560000000002</v>
      </c>
      <c r="S111" s="1">
        <v>133</v>
      </c>
      <c r="T111" s="6">
        <v>2.7604169999999999</v>
      </c>
      <c r="U111" s="1">
        <v>125</v>
      </c>
    </row>
    <row r="112" spans="1:21" x14ac:dyDescent="0.2">
      <c r="A112" s="1" t="s">
        <v>93</v>
      </c>
      <c r="B112" s="1" t="s">
        <v>92</v>
      </c>
      <c r="C112" s="9">
        <v>2.4996040000000002</v>
      </c>
      <c r="D112" s="6">
        <v>2.1586319999999999</v>
      </c>
      <c r="E112" s="6">
        <v>2.8405749999999999</v>
      </c>
      <c r="F112" s="8">
        <v>109</v>
      </c>
      <c r="G112" s="1">
        <v>69</v>
      </c>
      <c r="H112" s="1">
        <v>145</v>
      </c>
      <c r="I112" s="7">
        <f>(C112-1)*100/($C$4-1)</f>
        <v>47.974846863839907</v>
      </c>
      <c r="J112" s="6">
        <v>2.3846150000000002</v>
      </c>
      <c r="K112" s="1">
        <v>93</v>
      </c>
      <c r="L112" s="6">
        <v>2.4020980000000001</v>
      </c>
      <c r="M112" s="1">
        <v>106</v>
      </c>
      <c r="N112" s="6">
        <v>2.4020980000000001</v>
      </c>
      <c r="O112" s="1">
        <v>123</v>
      </c>
      <c r="P112" s="6">
        <v>2.493007</v>
      </c>
      <c r="Q112" s="1">
        <v>104</v>
      </c>
      <c r="R112" s="6">
        <v>2.4871799999999999</v>
      </c>
      <c r="S112" s="1">
        <v>111</v>
      </c>
      <c r="T112" s="6">
        <v>2.820513</v>
      </c>
      <c r="U112" s="1">
        <v>118</v>
      </c>
    </row>
    <row r="113" spans="1:21" x14ac:dyDescent="0.2">
      <c r="A113" s="1" t="s">
        <v>91</v>
      </c>
      <c r="B113" s="1" t="s">
        <v>90</v>
      </c>
      <c r="C113" s="9">
        <v>2.491924</v>
      </c>
      <c r="D113" s="6">
        <v>2.2547389999999998</v>
      </c>
      <c r="E113" s="6">
        <v>2.7291089999999998</v>
      </c>
      <c r="F113" s="8">
        <v>110</v>
      </c>
      <c r="G113" s="1">
        <v>84</v>
      </c>
      <c r="H113" s="1">
        <v>139</v>
      </c>
      <c r="I113" s="7">
        <f>(C113-1)*100/($C$4-1)</f>
        <v>47.729150784131996</v>
      </c>
      <c r="J113" s="6">
        <v>2.4615390000000001</v>
      </c>
      <c r="K113" s="1">
        <v>81</v>
      </c>
      <c r="L113" s="6">
        <v>2.3076919999999999</v>
      </c>
      <c r="M113" s="1">
        <v>115</v>
      </c>
      <c r="N113" s="6">
        <v>2.7204139999999999</v>
      </c>
      <c r="O113" s="1">
        <v>82</v>
      </c>
      <c r="P113" s="6">
        <v>2.5538370000000001</v>
      </c>
      <c r="Q113" s="1">
        <v>99</v>
      </c>
      <c r="R113" s="6">
        <v>2.0992920000000002</v>
      </c>
      <c r="S113" s="1">
        <v>145</v>
      </c>
      <c r="T113" s="6">
        <v>2.7356549999999999</v>
      </c>
      <c r="U113" s="1">
        <v>130</v>
      </c>
    </row>
    <row r="114" spans="1:21" x14ac:dyDescent="0.2">
      <c r="A114" s="1" t="s">
        <v>89</v>
      </c>
      <c r="B114" s="1" t="s">
        <v>88</v>
      </c>
      <c r="C114" s="9">
        <v>2.4895320000000001</v>
      </c>
      <c r="D114" s="6">
        <v>2.3068520000000001</v>
      </c>
      <c r="E114" s="6">
        <v>2.6722109999999999</v>
      </c>
      <c r="F114" s="8">
        <v>111</v>
      </c>
      <c r="G114" s="1">
        <v>88</v>
      </c>
      <c r="H114" s="1">
        <v>134</v>
      </c>
      <c r="I114" s="7">
        <f>(C114-1)*100/($C$4-1)</f>
        <v>47.652626692639643</v>
      </c>
      <c r="J114" s="6">
        <v>2.0976569999999999</v>
      </c>
      <c r="K114" s="1">
        <v>134</v>
      </c>
      <c r="L114" s="6">
        <v>2.1671559999999999</v>
      </c>
      <c r="M114" s="1">
        <v>129</v>
      </c>
      <c r="N114" s="6">
        <v>2.5445799999999998</v>
      </c>
      <c r="O114" s="1">
        <v>109</v>
      </c>
      <c r="P114" s="6">
        <v>2.3271549999999999</v>
      </c>
      <c r="Q114" s="1">
        <v>123</v>
      </c>
      <c r="R114" s="6">
        <v>2.5671550000000001</v>
      </c>
      <c r="S114" s="1">
        <v>100</v>
      </c>
      <c r="T114" s="6">
        <v>3.1763729999999999</v>
      </c>
      <c r="U114" s="1">
        <v>79</v>
      </c>
    </row>
    <row r="115" spans="1:21" x14ac:dyDescent="0.2">
      <c r="A115" s="1" t="s">
        <v>87</v>
      </c>
      <c r="B115" s="1" t="s">
        <v>86</v>
      </c>
      <c r="C115" s="9">
        <v>2.4893969999999999</v>
      </c>
      <c r="D115" s="6">
        <v>2.2531979999999998</v>
      </c>
      <c r="E115" s="6">
        <v>2.7255950000000002</v>
      </c>
      <c r="F115" s="8">
        <v>112</v>
      </c>
      <c r="G115" s="1">
        <v>84</v>
      </c>
      <c r="H115" s="1">
        <v>139</v>
      </c>
      <c r="I115" s="7">
        <f>(C115-1)*100/($C$4-1)</f>
        <v>47.648307816238521</v>
      </c>
      <c r="J115" s="6">
        <v>2.190172</v>
      </c>
      <c r="K115" s="1">
        <v>126</v>
      </c>
      <c r="L115" s="6">
        <v>2.4241830000000002</v>
      </c>
      <c r="M115" s="1">
        <v>100</v>
      </c>
      <c r="N115" s="6">
        <v>2.491403</v>
      </c>
      <c r="O115" s="1">
        <v>115</v>
      </c>
      <c r="P115" s="6">
        <v>2.663043</v>
      </c>
      <c r="Q115" s="1">
        <v>87</v>
      </c>
      <c r="R115" s="6">
        <v>2.493274</v>
      </c>
      <c r="S115" s="1">
        <v>108</v>
      </c>
      <c r="T115" s="6">
        <v>2.663043</v>
      </c>
      <c r="U115" s="1">
        <v>138</v>
      </c>
    </row>
    <row r="116" spans="1:21" x14ac:dyDescent="0.2">
      <c r="A116" s="1" t="s">
        <v>85</v>
      </c>
      <c r="B116" s="1" t="s">
        <v>84</v>
      </c>
      <c r="C116" s="9">
        <v>2.4825499999999998</v>
      </c>
      <c r="D116" s="6">
        <v>2.2978450000000001</v>
      </c>
      <c r="E116" s="6">
        <v>2.6672549999999999</v>
      </c>
      <c r="F116" s="8">
        <v>113</v>
      </c>
      <c r="G116" s="1">
        <v>88</v>
      </c>
      <c r="H116" s="1">
        <v>134</v>
      </c>
      <c r="I116" s="7">
        <f>(C116-1)*100/($C$4-1)</f>
        <v>47.429260803509358</v>
      </c>
      <c r="J116" s="6">
        <v>2.3636360000000001</v>
      </c>
      <c r="K116" s="1">
        <v>97</v>
      </c>
      <c r="L116" s="6">
        <v>2.409878</v>
      </c>
      <c r="M116" s="1">
        <v>103</v>
      </c>
      <c r="N116" s="6">
        <v>2.3146399999999998</v>
      </c>
      <c r="O116" s="1">
        <v>137</v>
      </c>
      <c r="P116" s="6">
        <v>2.4890729999999999</v>
      </c>
      <c r="Q116" s="1">
        <v>106</v>
      </c>
      <c r="R116" s="6">
        <v>2.5890719999999998</v>
      </c>
      <c r="S116" s="1">
        <v>95</v>
      </c>
      <c r="T116" s="6">
        <v>2.7390729999999999</v>
      </c>
      <c r="U116" s="1">
        <v>127</v>
      </c>
    </row>
    <row r="117" spans="1:21" x14ac:dyDescent="0.2">
      <c r="A117" s="1" t="s">
        <v>83</v>
      </c>
      <c r="B117" s="1" t="s">
        <v>82</v>
      </c>
      <c r="C117" s="9">
        <v>2.4815079999999998</v>
      </c>
      <c r="D117" s="6">
        <v>2.2084709999999999</v>
      </c>
      <c r="E117" s="6">
        <v>2.7545449999999998</v>
      </c>
      <c r="F117" s="8">
        <v>114</v>
      </c>
      <c r="G117" s="1">
        <v>80</v>
      </c>
      <c r="H117" s="1">
        <v>142</v>
      </c>
      <c r="I117" s="7">
        <f>(C117-1)*100/($C$4-1)</f>
        <v>47.395925476028147</v>
      </c>
      <c r="J117" s="6">
        <v>2.3333330000000001</v>
      </c>
      <c r="K117" s="1">
        <v>100</v>
      </c>
      <c r="L117" s="6">
        <v>2.237374</v>
      </c>
      <c r="M117" s="1">
        <v>122</v>
      </c>
      <c r="N117" s="6">
        <v>2.3282829999999999</v>
      </c>
      <c r="O117" s="1">
        <v>136</v>
      </c>
      <c r="P117" s="6">
        <v>2.4191919999999998</v>
      </c>
      <c r="Q117" s="1">
        <v>113</v>
      </c>
      <c r="R117" s="6">
        <v>2.7828279999999999</v>
      </c>
      <c r="S117" s="1">
        <v>76</v>
      </c>
      <c r="T117" s="6">
        <v>2.7828279999999999</v>
      </c>
      <c r="U117" s="1">
        <v>121</v>
      </c>
    </row>
    <row r="118" spans="1:21" x14ac:dyDescent="0.2">
      <c r="A118" s="1" t="s">
        <v>81</v>
      </c>
      <c r="B118" s="1" t="s">
        <v>80</v>
      </c>
      <c r="C118" s="9">
        <v>2.4813209999999999</v>
      </c>
      <c r="D118" s="6">
        <v>2.1947770000000002</v>
      </c>
      <c r="E118" s="6">
        <v>2.767865</v>
      </c>
      <c r="F118" s="8">
        <v>115</v>
      </c>
      <c r="G118" s="1">
        <v>79</v>
      </c>
      <c r="H118" s="1">
        <v>144</v>
      </c>
      <c r="I118" s="7">
        <f>(C118-1)*100/($C$4-1)</f>
        <v>47.389943032420682</v>
      </c>
      <c r="J118" s="6">
        <v>2.4157510000000002</v>
      </c>
      <c r="K118" s="1">
        <v>87</v>
      </c>
      <c r="L118" s="6">
        <v>2.340659</v>
      </c>
      <c r="M118" s="1">
        <v>112</v>
      </c>
      <c r="N118" s="6">
        <v>2.6657510000000002</v>
      </c>
      <c r="O118" s="1">
        <v>94</v>
      </c>
      <c r="P118" s="6">
        <v>2.5879120000000002</v>
      </c>
      <c r="Q118" s="1">
        <v>96</v>
      </c>
      <c r="R118" s="6">
        <v>2.332417</v>
      </c>
      <c r="S118" s="1">
        <v>131</v>
      </c>
      <c r="T118" s="6">
        <v>2.4990839999999999</v>
      </c>
      <c r="U118" s="1">
        <v>147</v>
      </c>
    </row>
    <row r="119" spans="1:21" x14ac:dyDescent="0.2">
      <c r="A119" s="1" t="s">
        <v>79</v>
      </c>
      <c r="B119" s="1" t="s">
        <v>78</v>
      </c>
      <c r="C119" s="9">
        <v>2.4811179999999999</v>
      </c>
      <c r="D119" s="6">
        <v>2.0172210000000002</v>
      </c>
      <c r="E119" s="6">
        <v>2.945014</v>
      </c>
      <c r="F119" s="8">
        <v>116</v>
      </c>
      <c r="G119" s="1">
        <v>59</v>
      </c>
      <c r="H119" s="1">
        <v>153</v>
      </c>
      <c r="I119" s="7">
        <f>(C119-1)*100/($C$4-1)</f>
        <v>47.383448721980486</v>
      </c>
      <c r="J119" s="6">
        <v>1.9172340000000001</v>
      </c>
      <c r="K119" s="1">
        <v>147</v>
      </c>
      <c r="L119" s="6">
        <v>2.417233</v>
      </c>
      <c r="M119" s="1">
        <v>101</v>
      </c>
      <c r="N119" s="6">
        <v>2.4285709999999998</v>
      </c>
      <c r="O119" s="1">
        <v>120</v>
      </c>
      <c r="P119" s="6">
        <v>2.1428569999999998</v>
      </c>
      <c r="Q119" s="1">
        <v>143</v>
      </c>
      <c r="R119" s="6">
        <v>2.7505670000000002</v>
      </c>
      <c r="S119" s="1">
        <v>80</v>
      </c>
      <c r="T119" s="6">
        <v>3.226531</v>
      </c>
      <c r="U119" s="1">
        <v>74</v>
      </c>
    </row>
    <row r="120" spans="1:21" x14ac:dyDescent="0.2">
      <c r="A120" s="1" t="s">
        <v>77</v>
      </c>
      <c r="B120" s="1" t="s">
        <v>76</v>
      </c>
      <c r="C120" s="9">
        <v>2.4648599999999998</v>
      </c>
      <c r="D120" s="6">
        <v>2.0029870000000001</v>
      </c>
      <c r="E120" s="6">
        <v>2.9267340000000002</v>
      </c>
      <c r="F120" s="8">
        <v>117</v>
      </c>
      <c r="G120" s="1">
        <v>61</v>
      </c>
      <c r="H120" s="1">
        <v>153</v>
      </c>
      <c r="I120" s="7">
        <f>(C120-1)*100/($C$4-1)</f>
        <v>46.863328036578004</v>
      </c>
      <c r="J120" s="6">
        <v>2.25</v>
      </c>
      <c r="K120" s="1">
        <v>118</v>
      </c>
      <c r="L120" s="6">
        <v>2.25</v>
      </c>
      <c r="M120" s="1">
        <v>120</v>
      </c>
      <c r="N120" s="6">
        <v>2.375</v>
      </c>
      <c r="O120" s="1">
        <v>127</v>
      </c>
      <c r="P120" s="6">
        <v>2.3921130000000002</v>
      </c>
      <c r="Q120" s="1">
        <v>117</v>
      </c>
      <c r="R120" s="6">
        <v>2.5349699999999999</v>
      </c>
      <c r="S120" s="1">
        <v>105</v>
      </c>
      <c r="T120" s="6">
        <v>2.9635419999999999</v>
      </c>
      <c r="U120" s="1">
        <v>101</v>
      </c>
    </row>
    <row r="121" spans="1:21" x14ac:dyDescent="0.2">
      <c r="A121" s="1" t="s">
        <v>75</v>
      </c>
      <c r="B121" s="1" t="s">
        <v>74</v>
      </c>
      <c r="C121" s="9">
        <v>2.4630749999999999</v>
      </c>
      <c r="D121" s="6">
        <v>2.2291099999999999</v>
      </c>
      <c r="E121" s="6">
        <v>2.697041</v>
      </c>
      <c r="F121" s="8">
        <v>118</v>
      </c>
      <c r="G121" s="1">
        <v>86</v>
      </c>
      <c r="H121" s="1">
        <v>142</v>
      </c>
      <c r="I121" s="7">
        <f>(C121-1)*100/($C$4-1)</f>
        <v>46.806222893052144</v>
      </c>
      <c r="J121" s="6">
        <v>2.285714</v>
      </c>
      <c r="K121" s="1">
        <v>111</v>
      </c>
      <c r="L121" s="6">
        <v>1.8971739999999999</v>
      </c>
      <c r="M121" s="1">
        <v>147</v>
      </c>
      <c r="N121" s="6">
        <v>2.6296439999999999</v>
      </c>
      <c r="O121" s="1">
        <v>98</v>
      </c>
      <c r="P121" s="6">
        <v>2.5463110000000002</v>
      </c>
      <c r="Q121" s="1">
        <v>100</v>
      </c>
      <c r="R121" s="6">
        <v>2.7963110000000002</v>
      </c>
      <c r="S121" s="1">
        <v>75</v>
      </c>
      <c r="T121" s="6">
        <v>2.5463110000000002</v>
      </c>
      <c r="U121" s="1">
        <v>142</v>
      </c>
    </row>
    <row r="122" spans="1:21" x14ac:dyDescent="0.2">
      <c r="A122" s="1" t="s">
        <v>73</v>
      </c>
      <c r="B122" s="1" t="s">
        <v>72</v>
      </c>
      <c r="C122" s="9">
        <v>2.448261</v>
      </c>
      <c r="D122" s="6">
        <v>2.221015</v>
      </c>
      <c r="E122" s="6">
        <v>2.6755070000000001</v>
      </c>
      <c r="F122" s="8">
        <v>119</v>
      </c>
      <c r="G122" s="1">
        <v>88</v>
      </c>
      <c r="H122" s="1">
        <v>142</v>
      </c>
      <c r="I122" s="7">
        <f>(C122-1)*100/($C$4-1)</f>
        <v>46.332298189303067</v>
      </c>
      <c r="J122" s="6">
        <v>2</v>
      </c>
      <c r="K122" s="1">
        <v>140</v>
      </c>
      <c r="L122" s="6">
        <v>2.4083909999999999</v>
      </c>
      <c r="M122" s="1">
        <v>104</v>
      </c>
      <c r="N122" s="6">
        <v>2.5411769999999998</v>
      </c>
      <c r="O122" s="1">
        <v>110</v>
      </c>
      <c r="P122" s="6">
        <v>2.4550909999999999</v>
      </c>
      <c r="Q122" s="1">
        <v>108</v>
      </c>
      <c r="R122" s="6">
        <v>2.421008</v>
      </c>
      <c r="S122" s="1">
        <v>119</v>
      </c>
      <c r="T122" s="6">
        <v>2.8397060000000001</v>
      </c>
      <c r="U122" s="1">
        <v>117</v>
      </c>
    </row>
    <row r="123" spans="1:21" x14ac:dyDescent="0.2">
      <c r="A123" s="1" t="s">
        <v>71</v>
      </c>
      <c r="B123" s="1" t="s">
        <v>70</v>
      </c>
      <c r="C123" s="9">
        <v>2.4480770000000001</v>
      </c>
      <c r="D123" s="6">
        <v>2.2058399999999998</v>
      </c>
      <c r="E123" s="6">
        <v>2.690315</v>
      </c>
      <c r="F123" s="8">
        <v>120</v>
      </c>
      <c r="G123" s="1">
        <v>88</v>
      </c>
      <c r="H123" s="1">
        <v>142</v>
      </c>
      <c r="I123" s="7">
        <f>(C123-1)*100/($C$4-1)</f>
        <v>46.326411720726739</v>
      </c>
      <c r="J123" s="6">
        <v>2.3125</v>
      </c>
      <c r="K123" s="1">
        <v>106</v>
      </c>
      <c r="L123" s="6">
        <v>2.3007810000000002</v>
      </c>
      <c r="M123" s="1">
        <v>116</v>
      </c>
      <c r="N123" s="6">
        <v>2.2226560000000002</v>
      </c>
      <c r="O123" s="1">
        <v>141</v>
      </c>
      <c r="P123" s="6">
        <v>2.3485640000000001</v>
      </c>
      <c r="Q123" s="1">
        <v>120</v>
      </c>
      <c r="R123" s="6">
        <v>2.618805</v>
      </c>
      <c r="S123" s="1">
        <v>89</v>
      </c>
      <c r="T123" s="6">
        <v>2.8915320000000002</v>
      </c>
      <c r="U123" s="1">
        <v>112</v>
      </c>
    </row>
    <row r="124" spans="1:21" x14ac:dyDescent="0.2">
      <c r="A124" s="1" t="s">
        <v>69</v>
      </c>
      <c r="B124" s="1" t="s">
        <v>68</v>
      </c>
      <c r="C124" s="9">
        <v>2.4467219999999998</v>
      </c>
      <c r="D124" s="6">
        <v>2.2411270000000001</v>
      </c>
      <c r="E124" s="6">
        <v>2.6523159999999999</v>
      </c>
      <c r="F124" s="8">
        <v>121</v>
      </c>
      <c r="G124" s="1">
        <v>90</v>
      </c>
      <c r="H124" s="1">
        <v>140</v>
      </c>
      <c r="I124" s="7">
        <f>(C124-1)*100/($C$4-1)</f>
        <v>46.283062998330344</v>
      </c>
      <c r="J124" s="6">
        <v>1.9677420000000001</v>
      </c>
      <c r="K124" s="1">
        <v>146</v>
      </c>
      <c r="L124" s="6">
        <v>2.270559</v>
      </c>
      <c r="M124" s="1">
        <v>118</v>
      </c>
      <c r="N124" s="6">
        <v>2.5967549999999999</v>
      </c>
      <c r="O124" s="1">
        <v>105</v>
      </c>
      <c r="P124" s="6">
        <v>2.5201950000000002</v>
      </c>
      <c r="Q124" s="1">
        <v>102</v>
      </c>
      <c r="R124" s="6">
        <v>2.3474819999999998</v>
      </c>
      <c r="S124" s="1">
        <v>128</v>
      </c>
      <c r="T124" s="6">
        <v>2.9244050000000001</v>
      </c>
      <c r="U124" s="1">
        <v>105</v>
      </c>
    </row>
    <row r="125" spans="1:21" x14ac:dyDescent="0.2">
      <c r="A125" s="1" t="s">
        <v>67</v>
      </c>
      <c r="B125" s="1" t="s">
        <v>66</v>
      </c>
      <c r="C125" s="9">
        <v>2.4335010000000001</v>
      </c>
      <c r="D125" s="6">
        <v>2.1532900000000001</v>
      </c>
      <c r="E125" s="6">
        <v>2.713711</v>
      </c>
      <c r="F125" s="8">
        <v>122</v>
      </c>
      <c r="G125" s="1">
        <v>85</v>
      </c>
      <c r="H125" s="1">
        <v>145</v>
      </c>
      <c r="I125" s="7">
        <f>(C125-1)*100/($C$4-1)</f>
        <v>45.86010103611445</v>
      </c>
      <c r="J125" s="6">
        <v>2.0769229999999999</v>
      </c>
      <c r="K125" s="1">
        <v>136</v>
      </c>
      <c r="L125" s="6">
        <v>2.1559979999999999</v>
      </c>
      <c r="M125" s="1">
        <v>130</v>
      </c>
      <c r="N125" s="6">
        <v>2.6854629999999999</v>
      </c>
      <c r="O125" s="1">
        <v>88</v>
      </c>
      <c r="P125" s="6">
        <v>2.3848069999999999</v>
      </c>
      <c r="Q125" s="1">
        <v>118</v>
      </c>
      <c r="R125" s="6">
        <v>2.3378160000000001</v>
      </c>
      <c r="S125" s="1">
        <v>130</v>
      </c>
      <c r="T125" s="6">
        <v>2.8826160000000001</v>
      </c>
      <c r="U125" s="1">
        <v>113</v>
      </c>
    </row>
    <row r="126" spans="1:21" x14ac:dyDescent="0.2">
      <c r="A126" s="1" t="s">
        <v>65</v>
      </c>
      <c r="B126" s="1" t="s">
        <v>64</v>
      </c>
      <c r="C126" s="9">
        <v>2.419238</v>
      </c>
      <c r="D126" s="6">
        <v>2.1734610000000001</v>
      </c>
      <c r="E126" s="6">
        <v>2.6650149999999999</v>
      </c>
      <c r="F126" s="8">
        <v>123</v>
      </c>
      <c r="G126" s="1">
        <v>88</v>
      </c>
      <c r="H126" s="1">
        <v>144</v>
      </c>
      <c r="I126" s="7">
        <f>(C126-1)*100/($C$4-1)</f>
        <v>45.403803746417331</v>
      </c>
      <c r="J126" s="6">
        <v>2.0666669999999998</v>
      </c>
      <c r="K126" s="1">
        <v>137</v>
      </c>
      <c r="L126" s="6">
        <v>2.2218800000000001</v>
      </c>
      <c r="M126" s="1">
        <v>123</v>
      </c>
      <c r="N126" s="6">
        <v>2.4145300000000001</v>
      </c>
      <c r="O126" s="1">
        <v>122</v>
      </c>
      <c r="P126" s="6">
        <v>2.1790880000000001</v>
      </c>
      <c r="Q126" s="1">
        <v>136</v>
      </c>
      <c r="R126" s="6">
        <v>2.479088</v>
      </c>
      <c r="S126" s="1">
        <v>112</v>
      </c>
      <c r="T126" s="6">
        <v>3.1186780000000001</v>
      </c>
      <c r="U126" s="1">
        <v>85</v>
      </c>
    </row>
    <row r="127" spans="1:21" x14ac:dyDescent="0.2">
      <c r="A127" s="1" t="s">
        <v>63</v>
      </c>
      <c r="B127" s="1" t="s">
        <v>62</v>
      </c>
      <c r="C127" s="9">
        <v>2.4167169999999998</v>
      </c>
      <c r="D127" s="6">
        <v>2.2374510000000001</v>
      </c>
      <c r="E127" s="6">
        <v>2.5959829999999999</v>
      </c>
      <c r="F127" s="8">
        <v>124</v>
      </c>
      <c r="G127" s="1">
        <v>94</v>
      </c>
      <c r="H127" s="1">
        <v>140</v>
      </c>
      <c r="I127" s="7">
        <f>(C127-1)*100/($C$4-1)</f>
        <v>45.32315272858613</v>
      </c>
      <c r="J127" s="6">
        <v>2.2201870000000001</v>
      </c>
      <c r="K127" s="1">
        <v>123</v>
      </c>
      <c r="L127" s="6">
        <v>2.269434</v>
      </c>
      <c r="M127" s="1">
        <v>119</v>
      </c>
      <c r="N127" s="6">
        <v>2.4275350000000002</v>
      </c>
      <c r="O127" s="1">
        <v>121</v>
      </c>
      <c r="P127" s="6">
        <v>2.2077870000000002</v>
      </c>
      <c r="Q127" s="1">
        <v>132</v>
      </c>
      <c r="R127" s="6">
        <v>2.434409</v>
      </c>
      <c r="S127" s="1">
        <v>117</v>
      </c>
      <c r="T127" s="6">
        <v>2.9119470000000001</v>
      </c>
      <c r="U127" s="1">
        <v>107</v>
      </c>
    </row>
    <row r="128" spans="1:21" x14ac:dyDescent="0.2">
      <c r="A128" s="1" t="s">
        <v>61</v>
      </c>
      <c r="B128" s="1" t="s">
        <v>60</v>
      </c>
      <c r="C128" s="9">
        <v>2.414844</v>
      </c>
      <c r="D128" s="6">
        <v>2.1463199999999998</v>
      </c>
      <c r="E128" s="6">
        <v>2.6833670000000001</v>
      </c>
      <c r="F128" s="8">
        <v>125</v>
      </c>
      <c r="G128" s="1">
        <v>88</v>
      </c>
      <c r="H128" s="1">
        <v>145</v>
      </c>
      <c r="I128" s="7">
        <f>(C128-1)*100/($C$4-1)</f>
        <v>45.263232317480281</v>
      </c>
      <c r="J128" s="6">
        <v>2.2595960000000002</v>
      </c>
      <c r="K128" s="1">
        <v>117</v>
      </c>
      <c r="L128" s="6">
        <v>2.016162</v>
      </c>
      <c r="M128" s="1">
        <v>139</v>
      </c>
      <c r="N128" s="6">
        <v>2.6828280000000002</v>
      </c>
      <c r="O128" s="1">
        <v>89</v>
      </c>
      <c r="P128" s="6">
        <v>2.1272730000000002</v>
      </c>
      <c r="Q128" s="1">
        <v>145</v>
      </c>
      <c r="R128" s="6">
        <v>2.4606059999999998</v>
      </c>
      <c r="S128" s="1">
        <v>114</v>
      </c>
      <c r="T128" s="6">
        <v>2.8542860000000001</v>
      </c>
      <c r="U128" s="1">
        <v>116</v>
      </c>
    </row>
    <row r="129" spans="1:21" x14ac:dyDescent="0.2">
      <c r="A129" s="1" t="s">
        <v>59</v>
      </c>
      <c r="B129" s="1" t="s">
        <v>58</v>
      </c>
      <c r="C129" s="9">
        <v>2.4132150000000001</v>
      </c>
      <c r="D129" s="6">
        <v>2.212555</v>
      </c>
      <c r="E129" s="6">
        <v>2.6138750000000002</v>
      </c>
      <c r="F129" s="8">
        <v>126</v>
      </c>
      <c r="G129" s="1">
        <v>90</v>
      </c>
      <c r="H129" s="1">
        <v>142</v>
      </c>
      <c r="I129" s="7">
        <f>(C129-1)*100/($C$4-1)</f>
        <v>45.211117875573493</v>
      </c>
      <c r="J129" s="6">
        <v>2.3710659999999999</v>
      </c>
      <c r="K129" s="1">
        <v>95</v>
      </c>
      <c r="L129" s="6">
        <v>2.0309900000000001</v>
      </c>
      <c r="M129" s="1">
        <v>137</v>
      </c>
      <c r="N129" s="6">
        <v>2.4375</v>
      </c>
      <c r="O129" s="1">
        <v>118</v>
      </c>
      <c r="P129" s="6">
        <v>2.1399550000000001</v>
      </c>
      <c r="Q129" s="1">
        <v>144</v>
      </c>
      <c r="R129" s="6">
        <v>2.3899550000000001</v>
      </c>
      <c r="S129" s="1">
        <v>122</v>
      </c>
      <c r="T129" s="6">
        <v>3.0443169999999999</v>
      </c>
      <c r="U129" s="1">
        <v>93</v>
      </c>
    </row>
    <row r="130" spans="1:21" x14ac:dyDescent="0.2">
      <c r="A130" s="1" t="s">
        <v>57</v>
      </c>
      <c r="B130" s="1" t="s">
        <v>56</v>
      </c>
      <c r="C130" s="9">
        <v>2.3967320000000001</v>
      </c>
      <c r="D130" s="6">
        <v>2.1171790000000001</v>
      </c>
      <c r="E130" s="6">
        <v>2.6762860000000002</v>
      </c>
      <c r="F130" s="8">
        <v>127</v>
      </c>
      <c r="G130" s="1">
        <v>88</v>
      </c>
      <c r="H130" s="1">
        <v>146</v>
      </c>
      <c r="I130" s="7">
        <f>(C130-1)*100/($C$4-1)</f>
        <v>44.683799062835817</v>
      </c>
      <c r="J130" s="6">
        <v>2.3333330000000001</v>
      </c>
      <c r="K130" s="1">
        <v>102</v>
      </c>
      <c r="L130" s="6">
        <v>2.3358590000000001</v>
      </c>
      <c r="M130" s="1">
        <v>113</v>
      </c>
      <c r="N130" s="6">
        <v>2.5176769999999999</v>
      </c>
      <c r="O130" s="1">
        <v>112</v>
      </c>
      <c r="P130" s="6">
        <v>2.2821549999999999</v>
      </c>
      <c r="Q130" s="1">
        <v>125</v>
      </c>
      <c r="R130" s="6">
        <v>2.2821549999999999</v>
      </c>
      <c r="S130" s="1">
        <v>135</v>
      </c>
      <c r="T130" s="6">
        <v>2.5981139999999998</v>
      </c>
      <c r="U130" s="1">
        <v>139</v>
      </c>
    </row>
    <row r="131" spans="1:21" x14ac:dyDescent="0.2">
      <c r="A131" s="1" t="s">
        <v>55</v>
      </c>
      <c r="B131" s="1" t="s">
        <v>54</v>
      </c>
      <c r="C131" s="9">
        <v>2.375238</v>
      </c>
      <c r="D131" s="6">
        <v>2.1288529999999999</v>
      </c>
      <c r="E131" s="6">
        <v>2.6216240000000002</v>
      </c>
      <c r="F131" s="8">
        <v>128</v>
      </c>
      <c r="G131" s="1">
        <v>90</v>
      </c>
      <c r="H131" s="1">
        <v>146</v>
      </c>
      <c r="I131" s="7">
        <f>(C131-1)*100/($C$4-1)</f>
        <v>43.996169956424133</v>
      </c>
      <c r="J131" s="6">
        <v>1.9764710000000001</v>
      </c>
      <c r="K131" s="1">
        <v>145</v>
      </c>
      <c r="L131" s="6">
        <v>2.2033610000000001</v>
      </c>
      <c r="M131" s="1">
        <v>126</v>
      </c>
      <c r="N131" s="6">
        <v>2.3411770000000001</v>
      </c>
      <c r="O131" s="1">
        <v>131</v>
      </c>
      <c r="P131" s="6">
        <v>2.1799719999999998</v>
      </c>
      <c r="Q131" s="1">
        <v>135</v>
      </c>
      <c r="R131" s="6">
        <v>2.5133049999999999</v>
      </c>
      <c r="S131" s="1">
        <v>106</v>
      </c>
      <c r="T131" s="6">
        <v>3.0133049999999999</v>
      </c>
      <c r="U131" s="1">
        <v>95</v>
      </c>
    </row>
    <row r="132" spans="1:21" x14ac:dyDescent="0.2">
      <c r="A132" s="1" t="s">
        <v>53</v>
      </c>
      <c r="B132" s="1" t="s">
        <v>52</v>
      </c>
      <c r="C132" s="9">
        <v>2.36822</v>
      </c>
      <c r="D132" s="6">
        <v>2.095837</v>
      </c>
      <c r="E132" s="6">
        <v>2.640603</v>
      </c>
      <c r="F132" s="8">
        <v>129</v>
      </c>
      <c r="G132" s="1">
        <v>90</v>
      </c>
      <c r="H132" s="1">
        <v>148</v>
      </c>
      <c r="I132" s="7">
        <f>(C132-1)*100/($C$4-1)</f>
        <v>43.771652366920222</v>
      </c>
      <c r="J132" s="6">
        <v>2.2352940000000001</v>
      </c>
      <c r="K132" s="1">
        <v>122</v>
      </c>
      <c r="L132" s="6">
        <v>2.0998960000000002</v>
      </c>
      <c r="M132" s="1">
        <v>133</v>
      </c>
      <c r="N132" s="6">
        <v>2.471082</v>
      </c>
      <c r="O132" s="1">
        <v>116</v>
      </c>
      <c r="P132" s="6">
        <v>2.4226930000000002</v>
      </c>
      <c r="Q132" s="1">
        <v>110</v>
      </c>
      <c r="R132" s="6">
        <v>2.3393600000000001</v>
      </c>
      <c r="S132" s="1">
        <v>129</v>
      </c>
      <c r="T132" s="6">
        <v>2.5893600000000001</v>
      </c>
      <c r="U132" s="1">
        <v>140</v>
      </c>
    </row>
    <row r="133" spans="1:21" x14ac:dyDescent="0.2">
      <c r="A133" s="1" t="s">
        <v>51</v>
      </c>
      <c r="B133" s="1" t="s">
        <v>50</v>
      </c>
      <c r="C133" s="9">
        <v>2.3532380000000002</v>
      </c>
      <c r="D133" s="6">
        <v>2.1836669999999998</v>
      </c>
      <c r="E133" s="6">
        <v>2.5228100000000002</v>
      </c>
      <c r="F133" s="8">
        <v>130</v>
      </c>
      <c r="G133" s="1">
        <v>107</v>
      </c>
      <c r="H133" s="1">
        <v>144</v>
      </c>
      <c r="I133" s="7">
        <f>(C133-1)*100/($C$4-1)</f>
        <v>43.292353061427541</v>
      </c>
      <c r="J133" s="6">
        <v>2.4452199999999999</v>
      </c>
      <c r="K133" s="1">
        <v>84</v>
      </c>
      <c r="L133" s="6">
        <v>2.4893380000000001</v>
      </c>
      <c r="M133" s="1">
        <v>90</v>
      </c>
      <c r="N133" s="6">
        <v>1.9952209999999999</v>
      </c>
      <c r="O133" s="1">
        <v>147</v>
      </c>
      <c r="P133" s="6">
        <v>2.2452209999999999</v>
      </c>
      <c r="Q133" s="1">
        <v>129</v>
      </c>
      <c r="R133" s="6">
        <v>2.3077209999999999</v>
      </c>
      <c r="S133" s="1">
        <v>132</v>
      </c>
      <c r="T133" s="6">
        <v>2.68614</v>
      </c>
      <c r="U133" s="1">
        <v>135</v>
      </c>
    </row>
    <row r="134" spans="1:21" x14ac:dyDescent="0.2">
      <c r="A134" s="1" t="s">
        <v>49</v>
      </c>
      <c r="B134" s="1" t="s">
        <v>48</v>
      </c>
      <c r="C134" s="9">
        <v>2.3449650000000002</v>
      </c>
      <c r="D134" s="6">
        <v>1.942847</v>
      </c>
      <c r="E134" s="6">
        <v>2.7470829999999999</v>
      </c>
      <c r="F134" s="8">
        <v>131</v>
      </c>
      <c r="G134" s="1">
        <v>82</v>
      </c>
      <c r="H134" s="1">
        <v>153</v>
      </c>
      <c r="I134" s="7">
        <f>(C134-1)*100/($C$4-1)</f>
        <v>43.027685917231778</v>
      </c>
      <c r="J134" s="6">
        <v>2</v>
      </c>
      <c r="K134" s="1">
        <v>142</v>
      </c>
      <c r="L134" s="6">
        <v>2</v>
      </c>
      <c r="M134" s="1">
        <v>143</v>
      </c>
      <c r="N134" s="6">
        <v>2.4</v>
      </c>
      <c r="O134" s="1">
        <v>125</v>
      </c>
      <c r="P134" s="6">
        <v>2.4</v>
      </c>
      <c r="Q134" s="1">
        <v>116</v>
      </c>
      <c r="R134" s="6">
        <v>2.2000000000000002</v>
      </c>
      <c r="S134" s="1">
        <v>137</v>
      </c>
      <c r="T134" s="6">
        <v>3</v>
      </c>
      <c r="U134" s="1">
        <v>96</v>
      </c>
    </row>
    <row r="135" spans="1:21" x14ac:dyDescent="0.2">
      <c r="A135" s="1" t="s">
        <v>47</v>
      </c>
      <c r="B135" s="1" t="s">
        <v>46</v>
      </c>
      <c r="C135" s="9">
        <v>2.3302670000000001</v>
      </c>
      <c r="D135" s="6">
        <v>2.1356060000000001</v>
      </c>
      <c r="E135" s="6">
        <v>2.5249280000000001</v>
      </c>
      <c r="F135" s="8">
        <v>132</v>
      </c>
      <c r="G135" s="1">
        <v>107</v>
      </c>
      <c r="H135" s="1">
        <v>146</v>
      </c>
      <c r="I135" s="7">
        <f>(C135-1)*100/($C$4-1)</f>
        <v>42.557472248019955</v>
      </c>
      <c r="J135" s="6">
        <v>2.1718760000000001</v>
      </c>
      <c r="K135" s="1">
        <v>129</v>
      </c>
      <c r="L135" s="6">
        <v>2.441303</v>
      </c>
      <c r="M135" s="1">
        <v>98</v>
      </c>
      <c r="N135" s="6">
        <v>2.08</v>
      </c>
      <c r="O135" s="1">
        <v>145</v>
      </c>
      <c r="P135" s="6">
        <v>2.149451</v>
      </c>
      <c r="Q135" s="1">
        <v>142</v>
      </c>
      <c r="R135" s="6">
        <v>2.4354979999999999</v>
      </c>
      <c r="S135" s="1">
        <v>116</v>
      </c>
      <c r="T135" s="6">
        <v>2.7431909999999999</v>
      </c>
      <c r="U135" s="1">
        <v>126</v>
      </c>
    </row>
    <row r="136" spans="1:21" x14ac:dyDescent="0.2">
      <c r="A136" s="1" t="s">
        <v>45</v>
      </c>
      <c r="B136" s="1" t="s">
        <v>44</v>
      </c>
      <c r="C136" s="9">
        <v>2.3275269999999999</v>
      </c>
      <c r="D136" s="6">
        <v>2.1315210000000002</v>
      </c>
      <c r="E136" s="6">
        <v>2.5235319999999999</v>
      </c>
      <c r="F136" s="8">
        <v>133</v>
      </c>
      <c r="G136" s="1">
        <v>107</v>
      </c>
      <c r="H136" s="1">
        <v>146</v>
      </c>
      <c r="I136" s="7">
        <f>(C136-1)*100/($C$4-1)</f>
        <v>42.469815052915834</v>
      </c>
      <c r="J136" s="6">
        <v>2.2854169999999998</v>
      </c>
      <c r="K136" s="1">
        <v>113</v>
      </c>
      <c r="L136" s="6">
        <v>2.1498010000000001</v>
      </c>
      <c r="M136" s="1">
        <v>131</v>
      </c>
      <c r="N136" s="6">
        <v>2.3513890000000002</v>
      </c>
      <c r="O136" s="1">
        <v>129</v>
      </c>
      <c r="P136" s="6">
        <v>2.329167</v>
      </c>
      <c r="Q136" s="1">
        <v>122</v>
      </c>
      <c r="R136" s="6">
        <v>2.1402779999999999</v>
      </c>
      <c r="S136" s="1">
        <v>140</v>
      </c>
      <c r="T136" s="6">
        <v>2.668056</v>
      </c>
      <c r="U136" s="1">
        <v>136</v>
      </c>
    </row>
    <row r="137" spans="1:21" x14ac:dyDescent="0.2">
      <c r="A137" s="1" t="s">
        <v>43</v>
      </c>
      <c r="B137" s="1" t="s">
        <v>42</v>
      </c>
      <c r="C137" s="9">
        <v>2.3225899999999999</v>
      </c>
      <c r="D137" s="6">
        <v>2.0501290000000001</v>
      </c>
      <c r="E137" s="6">
        <v>2.5950519999999999</v>
      </c>
      <c r="F137" s="8">
        <v>134</v>
      </c>
      <c r="G137" s="1">
        <v>95</v>
      </c>
      <c r="H137" s="1">
        <v>150</v>
      </c>
      <c r="I137" s="7">
        <f>(C137-1)*100/($C$4-1)</f>
        <v>42.311872143343187</v>
      </c>
      <c r="J137" s="6">
        <v>2.1186029999999998</v>
      </c>
      <c r="K137" s="1">
        <v>132</v>
      </c>
      <c r="L137" s="6">
        <v>2.4</v>
      </c>
      <c r="M137" s="1">
        <v>107</v>
      </c>
      <c r="N137" s="6">
        <v>2.3333330000000001</v>
      </c>
      <c r="O137" s="1">
        <v>133</v>
      </c>
      <c r="P137" s="6">
        <v>2.2766980000000001</v>
      </c>
      <c r="Q137" s="1">
        <v>126</v>
      </c>
      <c r="R137" s="6">
        <v>2.1333329999999999</v>
      </c>
      <c r="S137" s="1">
        <v>142</v>
      </c>
      <c r="T137" s="6">
        <v>2.6666669999999999</v>
      </c>
      <c r="U137" s="1">
        <v>137</v>
      </c>
    </row>
    <row r="138" spans="1:21" x14ac:dyDescent="0.2">
      <c r="A138" s="1" t="s">
        <v>41</v>
      </c>
      <c r="B138" s="1" t="s">
        <v>40</v>
      </c>
      <c r="C138" s="9">
        <v>2.297272</v>
      </c>
      <c r="D138" s="6">
        <v>2.1294200000000001</v>
      </c>
      <c r="E138" s="6">
        <v>2.4651239999999999</v>
      </c>
      <c r="F138" s="8">
        <v>135</v>
      </c>
      <c r="G138" s="1">
        <v>117</v>
      </c>
      <c r="H138" s="1">
        <v>146</v>
      </c>
      <c r="I138" s="7">
        <f>(C138-1)*100/($C$4-1)</f>
        <v>41.501906863910293</v>
      </c>
      <c r="J138" s="6">
        <v>2.3336169999999998</v>
      </c>
      <c r="K138" s="1">
        <v>99</v>
      </c>
      <c r="L138" s="6">
        <v>2.0036109999999998</v>
      </c>
      <c r="M138" s="1">
        <v>141</v>
      </c>
      <c r="N138" s="6">
        <v>2.332182</v>
      </c>
      <c r="O138" s="1">
        <v>134</v>
      </c>
      <c r="P138" s="6">
        <v>2.1625920000000001</v>
      </c>
      <c r="Q138" s="1">
        <v>139</v>
      </c>
      <c r="R138" s="6">
        <v>2.0951550000000001</v>
      </c>
      <c r="S138" s="1">
        <v>146</v>
      </c>
      <c r="T138" s="6">
        <v>2.7952590000000002</v>
      </c>
      <c r="U138" s="1">
        <v>119</v>
      </c>
    </row>
    <row r="139" spans="1:21" x14ac:dyDescent="0.2">
      <c r="A139" s="1" t="s">
        <v>39</v>
      </c>
      <c r="B139" s="1" t="s">
        <v>38</v>
      </c>
      <c r="C139" s="9">
        <v>2.2836789999999998</v>
      </c>
      <c r="D139" s="6">
        <v>2.0328210000000002</v>
      </c>
      <c r="E139" s="6">
        <v>2.5345369999999998</v>
      </c>
      <c r="F139" s="8">
        <v>136</v>
      </c>
      <c r="G139" s="1">
        <v>105</v>
      </c>
      <c r="H139" s="1">
        <v>151</v>
      </c>
      <c r="I139" s="7">
        <f>(C139-1)*100/($C$4-1)</f>
        <v>41.067043997833522</v>
      </c>
      <c r="J139" s="6">
        <v>2.4342640000000002</v>
      </c>
      <c r="K139" s="1">
        <v>85</v>
      </c>
      <c r="L139" s="6">
        <v>2.0283880000000001</v>
      </c>
      <c r="M139" s="1">
        <v>138</v>
      </c>
      <c r="N139" s="6">
        <v>2.3316140000000001</v>
      </c>
      <c r="O139" s="1">
        <v>135</v>
      </c>
      <c r="P139" s="6">
        <v>2.2205499999999998</v>
      </c>
      <c r="Q139" s="1">
        <v>130</v>
      </c>
      <c r="R139" s="6">
        <v>2.1296409999999999</v>
      </c>
      <c r="S139" s="1">
        <v>143</v>
      </c>
      <c r="T139" s="6">
        <v>2.5074529999999999</v>
      </c>
      <c r="U139" s="1">
        <v>146</v>
      </c>
    </row>
    <row r="140" spans="1:21" x14ac:dyDescent="0.2">
      <c r="A140" s="1" t="s">
        <v>37</v>
      </c>
      <c r="B140" s="1" t="s">
        <v>36</v>
      </c>
      <c r="C140" s="9">
        <v>2.2827519999999999</v>
      </c>
      <c r="D140" s="6">
        <v>2.0776180000000002</v>
      </c>
      <c r="E140" s="6">
        <v>2.4878849999999999</v>
      </c>
      <c r="F140" s="8">
        <v>137</v>
      </c>
      <c r="G140" s="1">
        <v>113</v>
      </c>
      <c r="H140" s="1">
        <v>150</v>
      </c>
      <c r="I140" s="7">
        <f>(C140-1)*100/($C$4-1)</f>
        <v>41.037387713212524</v>
      </c>
      <c r="J140" s="6">
        <v>2.0803569999999998</v>
      </c>
      <c r="K140" s="1">
        <v>135</v>
      </c>
      <c r="L140" s="6">
        <v>1.75</v>
      </c>
      <c r="M140" s="1">
        <v>152</v>
      </c>
      <c r="N140" s="6">
        <v>2.625</v>
      </c>
      <c r="O140" s="1">
        <v>99</v>
      </c>
      <c r="P140" s="6">
        <v>2.25</v>
      </c>
      <c r="Q140" s="1">
        <v>128</v>
      </c>
      <c r="R140" s="6">
        <v>2.375</v>
      </c>
      <c r="S140" s="1">
        <v>123</v>
      </c>
      <c r="T140" s="6">
        <v>2.5089290000000002</v>
      </c>
      <c r="U140" s="1">
        <v>145</v>
      </c>
    </row>
    <row r="141" spans="1:21" x14ac:dyDescent="0.2">
      <c r="A141" s="1" t="s">
        <v>35</v>
      </c>
      <c r="B141" s="1" t="s">
        <v>34</v>
      </c>
      <c r="C141" s="9">
        <v>2.2760199999999999</v>
      </c>
      <c r="D141" s="6">
        <v>2.03451</v>
      </c>
      <c r="E141" s="6">
        <v>2.5175299999999998</v>
      </c>
      <c r="F141" s="8">
        <v>138</v>
      </c>
      <c r="G141" s="1">
        <v>108</v>
      </c>
      <c r="H141" s="1">
        <v>151</v>
      </c>
      <c r="I141" s="7">
        <f>(C141-1)*100/($C$4-1)</f>
        <v>40.822019743343567</v>
      </c>
      <c r="J141" s="6">
        <v>2.3333330000000001</v>
      </c>
      <c r="K141" s="1">
        <v>101</v>
      </c>
      <c r="L141" s="6">
        <v>2.482869</v>
      </c>
      <c r="M141" s="1">
        <v>92</v>
      </c>
      <c r="N141" s="6">
        <v>2.2587299999999999</v>
      </c>
      <c r="O141" s="1">
        <v>139</v>
      </c>
      <c r="P141" s="6">
        <v>2.0026350000000002</v>
      </c>
      <c r="Q141" s="1">
        <v>149</v>
      </c>
      <c r="R141" s="6">
        <v>2.001506</v>
      </c>
      <c r="S141" s="1">
        <v>147</v>
      </c>
      <c r="T141" s="6">
        <v>2.585969</v>
      </c>
      <c r="U141" s="1">
        <v>141</v>
      </c>
    </row>
    <row r="142" spans="1:21" x14ac:dyDescent="0.2">
      <c r="A142" s="1" t="s">
        <v>33</v>
      </c>
      <c r="B142" s="1" t="s">
        <v>32</v>
      </c>
      <c r="C142" s="9">
        <v>2.2670650000000001</v>
      </c>
      <c r="D142" s="6">
        <v>2.0463710000000002</v>
      </c>
      <c r="E142" s="6">
        <v>2.4877590000000001</v>
      </c>
      <c r="F142" s="8">
        <v>139</v>
      </c>
      <c r="G142" s="1">
        <v>113</v>
      </c>
      <c r="H142" s="1">
        <v>150</v>
      </c>
      <c r="I142" s="7">
        <f>(C142-1)*100/($C$4-1)</f>
        <v>40.535534275402917</v>
      </c>
      <c r="J142" s="6">
        <v>2.1875</v>
      </c>
      <c r="K142" s="1">
        <v>127</v>
      </c>
      <c r="L142" s="6">
        <v>1.875</v>
      </c>
      <c r="M142" s="1">
        <v>148</v>
      </c>
      <c r="N142" s="6">
        <v>2.2736230000000002</v>
      </c>
      <c r="O142" s="1">
        <v>138</v>
      </c>
      <c r="P142" s="6">
        <v>2.0570309999999998</v>
      </c>
      <c r="Q142" s="1">
        <v>147</v>
      </c>
      <c r="R142" s="6">
        <v>2.3903650000000001</v>
      </c>
      <c r="S142" s="1">
        <v>121</v>
      </c>
      <c r="T142" s="6">
        <v>2.7638690000000001</v>
      </c>
      <c r="U142" s="1">
        <v>124</v>
      </c>
    </row>
    <row r="143" spans="1:21" x14ac:dyDescent="0.2">
      <c r="A143" s="1" t="s">
        <v>31</v>
      </c>
      <c r="B143" s="1" t="s">
        <v>30</v>
      </c>
      <c r="C143" s="9">
        <v>2.2502599999999999</v>
      </c>
      <c r="D143" s="6">
        <v>2.067936</v>
      </c>
      <c r="E143" s="6">
        <v>2.4325830000000002</v>
      </c>
      <c r="F143" s="8">
        <v>140</v>
      </c>
      <c r="G143" s="1">
        <v>123</v>
      </c>
      <c r="H143" s="1">
        <v>150</v>
      </c>
      <c r="I143" s="7">
        <f>(C143-1)*100/($C$4-1)</f>
        <v>39.997914142656647</v>
      </c>
      <c r="J143" s="6">
        <v>1.983333</v>
      </c>
      <c r="K143" s="1">
        <v>144</v>
      </c>
      <c r="L143" s="6">
        <v>2.2166670000000002</v>
      </c>
      <c r="M143" s="1">
        <v>125</v>
      </c>
      <c r="N143" s="6">
        <v>2.1333329999999999</v>
      </c>
      <c r="O143" s="1">
        <v>142</v>
      </c>
      <c r="P143" s="6">
        <v>1.8833329999999999</v>
      </c>
      <c r="Q143" s="1">
        <v>152</v>
      </c>
      <c r="R143" s="6">
        <v>2.2888890000000002</v>
      </c>
      <c r="S143" s="1">
        <v>134</v>
      </c>
      <c r="T143" s="6">
        <v>2.9922219999999999</v>
      </c>
      <c r="U143" s="1">
        <v>97</v>
      </c>
    </row>
    <row r="144" spans="1:21" x14ac:dyDescent="0.2">
      <c r="A144" s="1" t="s">
        <v>29</v>
      </c>
      <c r="B144" s="1" t="s">
        <v>28</v>
      </c>
      <c r="C144" s="9">
        <v>2.2368540000000001</v>
      </c>
      <c r="D144" s="6">
        <v>2.0744980000000002</v>
      </c>
      <c r="E144" s="6">
        <v>2.3992100000000001</v>
      </c>
      <c r="F144" s="8">
        <v>141</v>
      </c>
      <c r="G144" s="1">
        <v>127</v>
      </c>
      <c r="H144" s="1">
        <v>150</v>
      </c>
      <c r="I144" s="7">
        <f>(C144-1)*100/($C$4-1)</f>
        <v>39.569033720187363</v>
      </c>
      <c r="J144" s="6">
        <v>2.0288469999999998</v>
      </c>
      <c r="K144" s="1">
        <v>139</v>
      </c>
      <c r="L144" s="6">
        <v>2.2173910000000001</v>
      </c>
      <c r="M144" s="1">
        <v>124</v>
      </c>
      <c r="N144" s="6">
        <v>2.347029</v>
      </c>
      <c r="O144" s="1">
        <v>130</v>
      </c>
      <c r="P144" s="6">
        <v>2.1604909999999999</v>
      </c>
      <c r="Q144" s="1">
        <v>140</v>
      </c>
      <c r="R144" s="6">
        <v>2.1027580000000001</v>
      </c>
      <c r="S144" s="1">
        <v>144</v>
      </c>
      <c r="T144" s="6">
        <v>2.5373770000000002</v>
      </c>
      <c r="U144" s="1">
        <v>143</v>
      </c>
    </row>
    <row r="145" spans="1:21" x14ac:dyDescent="0.2">
      <c r="A145" s="1" t="s">
        <v>27</v>
      </c>
      <c r="B145" s="1" t="s">
        <v>26</v>
      </c>
      <c r="C145" s="9">
        <v>2.2359580000000001</v>
      </c>
      <c r="D145" s="6">
        <v>1.865648</v>
      </c>
      <c r="E145" s="6">
        <v>2.606268</v>
      </c>
      <c r="F145" s="8">
        <v>142</v>
      </c>
      <c r="G145" s="1">
        <v>92</v>
      </c>
      <c r="H145" s="1">
        <v>153</v>
      </c>
      <c r="I145" s="7">
        <f>(C145-1)*100/($C$4-1)</f>
        <v>39.540369177554773</v>
      </c>
      <c r="J145" s="6">
        <v>2</v>
      </c>
      <c r="K145" s="1">
        <v>143</v>
      </c>
      <c r="L145" s="6">
        <v>2.125</v>
      </c>
      <c r="M145" s="1">
        <v>132</v>
      </c>
      <c r="N145" s="6">
        <v>2.125</v>
      </c>
      <c r="O145" s="1">
        <v>143</v>
      </c>
      <c r="P145" s="6">
        <v>2.4202379999999999</v>
      </c>
      <c r="Q145" s="1">
        <v>112</v>
      </c>
      <c r="R145" s="6">
        <v>1.9916670000000001</v>
      </c>
      <c r="S145" s="1">
        <v>148</v>
      </c>
      <c r="T145" s="6">
        <v>2.7314289999999999</v>
      </c>
      <c r="U145" s="1">
        <v>131</v>
      </c>
    </row>
    <row r="146" spans="1:21" x14ac:dyDescent="0.2">
      <c r="A146" s="1" t="s">
        <v>25</v>
      </c>
      <c r="B146" s="1" t="s">
        <v>24</v>
      </c>
      <c r="C146" s="9">
        <v>2.2050730000000001</v>
      </c>
      <c r="D146" s="6">
        <v>2.0086710000000001</v>
      </c>
      <c r="E146" s="6">
        <v>2.401475</v>
      </c>
      <c r="F146" s="8">
        <v>143</v>
      </c>
      <c r="G146" s="1">
        <v>127</v>
      </c>
      <c r="H146" s="1">
        <v>153</v>
      </c>
      <c r="I146" s="7">
        <f>(C146-1)*100/($C$4-1)</f>
        <v>38.552306232010679</v>
      </c>
      <c r="J146" s="6">
        <v>2.100339</v>
      </c>
      <c r="K146" s="1">
        <v>133</v>
      </c>
      <c r="L146" s="6">
        <v>1.958053</v>
      </c>
      <c r="M146" s="1">
        <v>144</v>
      </c>
      <c r="N146" s="6">
        <v>2.234858</v>
      </c>
      <c r="O146" s="1">
        <v>140</v>
      </c>
      <c r="P146" s="6">
        <v>2.1716790000000001</v>
      </c>
      <c r="Q146" s="1">
        <v>138</v>
      </c>
      <c r="R146" s="6">
        <v>2.3526199999999999</v>
      </c>
      <c r="S146" s="1">
        <v>124</v>
      </c>
      <c r="T146" s="6">
        <v>2.3814920000000002</v>
      </c>
      <c r="U146" s="1">
        <v>149</v>
      </c>
    </row>
    <row r="147" spans="1:21" x14ac:dyDescent="0.2">
      <c r="A147" s="1" t="s">
        <v>23</v>
      </c>
      <c r="B147" s="1" t="s">
        <v>22</v>
      </c>
      <c r="C147" s="9">
        <v>2.1961149999999998</v>
      </c>
      <c r="D147" s="6">
        <v>2.0173000000000001</v>
      </c>
      <c r="E147" s="6">
        <v>2.37493</v>
      </c>
      <c r="F147" s="8">
        <v>144</v>
      </c>
      <c r="G147" s="1">
        <v>129</v>
      </c>
      <c r="H147" s="1">
        <v>153</v>
      </c>
      <c r="I147" s="7">
        <f>(C147-1)*100/($C$4-1)</f>
        <v>38.265724789038877</v>
      </c>
      <c r="J147" s="6">
        <v>2.1770489999999998</v>
      </c>
      <c r="K147" s="1">
        <v>128</v>
      </c>
      <c r="L147" s="6">
        <v>2.084762</v>
      </c>
      <c r="M147" s="1">
        <v>135</v>
      </c>
      <c r="N147" s="6">
        <v>2.123218</v>
      </c>
      <c r="O147" s="1">
        <v>144</v>
      </c>
      <c r="P147" s="6">
        <v>2.2141570000000002</v>
      </c>
      <c r="Q147" s="1">
        <v>131</v>
      </c>
      <c r="R147" s="6">
        <v>2.2640980000000002</v>
      </c>
      <c r="S147" s="1">
        <v>136</v>
      </c>
      <c r="T147" s="6">
        <v>2.3085529999999999</v>
      </c>
      <c r="U147" s="1">
        <v>152</v>
      </c>
    </row>
    <row r="148" spans="1:21" x14ac:dyDescent="0.2">
      <c r="A148" s="1" t="s">
        <v>21</v>
      </c>
      <c r="B148" s="1" t="s">
        <v>20</v>
      </c>
      <c r="C148" s="9">
        <v>2.1591770000000001</v>
      </c>
      <c r="D148" s="6">
        <v>1.982442</v>
      </c>
      <c r="E148" s="6">
        <v>2.335912</v>
      </c>
      <c r="F148" s="8">
        <v>145</v>
      </c>
      <c r="G148" s="1">
        <v>132</v>
      </c>
      <c r="H148" s="1">
        <v>153</v>
      </c>
      <c r="I148" s="7">
        <f>(C148-1)*100/($C$4-1)</f>
        <v>37.084016222339599</v>
      </c>
      <c r="J148" s="6">
        <v>1.747495</v>
      </c>
      <c r="K148" s="1">
        <v>152</v>
      </c>
      <c r="L148" s="6">
        <v>1.915867</v>
      </c>
      <c r="M148" s="1">
        <v>146</v>
      </c>
      <c r="N148" s="6">
        <v>2.381332</v>
      </c>
      <c r="O148" s="1">
        <v>126</v>
      </c>
      <c r="P148" s="6">
        <v>2.1937690000000001</v>
      </c>
      <c r="Q148" s="1">
        <v>134</v>
      </c>
      <c r="R148" s="6">
        <v>1.8630249999999999</v>
      </c>
      <c r="S148" s="1">
        <v>151</v>
      </c>
      <c r="T148" s="6">
        <v>2.771385</v>
      </c>
      <c r="U148" s="1">
        <v>122</v>
      </c>
    </row>
    <row r="149" spans="1:21" x14ac:dyDescent="0.2">
      <c r="A149" s="1" t="s">
        <v>19</v>
      </c>
      <c r="B149" s="1" t="s">
        <v>18</v>
      </c>
      <c r="C149" s="9">
        <v>2.1407449999999999</v>
      </c>
      <c r="D149" s="6">
        <v>1.91754</v>
      </c>
      <c r="E149" s="6">
        <v>2.3639510000000001</v>
      </c>
      <c r="F149" s="8">
        <v>146</v>
      </c>
      <c r="G149" s="1">
        <v>130</v>
      </c>
      <c r="H149" s="1">
        <v>153</v>
      </c>
      <c r="I149" s="7">
        <f>(C149-1)*100/($C$4-1)</f>
        <v>36.494345631040623</v>
      </c>
      <c r="J149" s="6">
        <v>2</v>
      </c>
      <c r="K149" s="1">
        <v>141</v>
      </c>
      <c r="L149" s="6">
        <v>1.9393940000000001</v>
      </c>
      <c r="M149" s="1">
        <v>145</v>
      </c>
      <c r="N149" s="6">
        <v>1.8106059999999999</v>
      </c>
      <c r="O149" s="1">
        <v>153</v>
      </c>
      <c r="P149" s="6">
        <v>2.1994950000000002</v>
      </c>
      <c r="Q149" s="1">
        <v>133</v>
      </c>
      <c r="R149" s="6">
        <v>2.1994950000000002</v>
      </c>
      <c r="S149" s="1">
        <v>138</v>
      </c>
      <c r="T149" s="6">
        <v>2.6994950000000002</v>
      </c>
      <c r="U149" s="1">
        <v>134</v>
      </c>
    </row>
    <row r="150" spans="1:21" x14ac:dyDescent="0.2">
      <c r="A150" s="1" t="s">
        <v>17</v>
      </c>
      <c r="B150" s="1" t="s">
        <v>16</v>
      </c>
      <c r="C150" s="9">
        <v>2.1101990000000002</v>
      </c>
      <c r="D150" s="6">
        <v>1.6898770000000001</v>
      </c>
      <c r="E150" s="6">
        <v>2.5305209999999998</v>
      </c>
      <c r="F150" s="8">
        <v>147</v>
      </c>
      <c r="G150" s="1">
        <v>106</v>
      </c>
      <c r="H150" s="1">
        <v>154</v>
      </c>
      <c r="I150" s="7">
        <f>(C150-1)*100/($C$4-1)</f>
        <v>35.517127864014903</v>
      </c>
      <c r="J150" s="6">
        <v>1.78</v>
      </c>
      <c r="K150" s="1">
        <v>151</v>
      </c>
      <c r="L150" s="6">
        <v>1.8333330000000001</v>
      </c>
      <c r="M150" s="1">
        <v>150</v>
      </c>
      <c r="N150" s="6">
        <v>2.6333329999999999</v>
      </c>
      <c r="O150" s="1">
        <v>97</v>
      </c>
      <c r="P150" s="6">
        <v>2.0333329999999998</v>
      </c>
      <c r="Q150" s="1">
        <v>148</v>
      </c>
      <c r="R150" s="6">
        <v>1.8333330000000001</v>
      </c>
      <c r="S150" s="1">
        <v>152</v>
      </c>
      <c r="T150" s="6">
        <v>2.4333330000000002</v>
      </c>
      <c r="U150" s="1">
        <v>148</v>
      </c>
    </row>
    <row r="151" spans="1:21" x14ac:dyDescent="0.2">
      <c r="A151" s="1" t="s">
        <v>15</v>
      </c>
      <c r="B151" s="1" t="s">
        <v>14</v>
      </c>
      <c r="C151" s="9">
        <v>2.1034639999999998</v>
      </c>
      <c r="D151" s="6">
        <v>1.8277289999999999</v>
      </c>
      <c r="E151" s="6">
        <v>2.3791989999999998</v>
      </c>
      <c r="F151" s="8">
        <v>148</v>
      </c>
      <c r="G151" s="1">
        <v>128</v>
      </c>
      <c r="H151" s="1">
        <v>153</v>
      </c>
      <c r="I151" s="7">
        <f>(C151-1)*100/($C$4-1)</f>
        <v>35.301663919114795</v>
      </c>
      <c r="J151" s="6">
        <v>2.1361880000000002</v>
      </c>
      <c r="K151" s="1">
        <v>131</v>
      </c>
      <c r="L151" s="6">
        <v>2.0111880000000002</v>
      </c>
      <c r="M151" s="1">
        <v>140</v>
      </c>
      <c r="N151" s="6">
        <v>1.9347989999999999</v>
      </c>
      <c r="O151" s="1">
        <v>150</v>
      </c>
      <c r="P151" s="6">
        <v>2.3333330000000001</v>
      </c>
      <c r="Q151" s="1">
        <v>121</v>
      </c>
      <c r="R151" s="6">
        <v>1.888889</v>
      </c>
      <c r="S151" s="1">
        <v>150</v>
      </c>
      <c r="T151" s="6">
        <v>2.3097989999999999</v>
      </c>
      <c r="U151" s="1">
        <v>151</v>
      </c>
    </row>
    <row r="152" spans="1:21" x14ac:dyDescent="0.2">
      <c r="A152" s="1" t="s">
        <v>13</v>
      </c>
      <c r="B152" s="1" t="s">
        <v>12</v>
      </c>
      <c r="C152" s="9">
        <v>2.0845910000000001</v>
      </c>
      <c r="D152" s="6">
        <v>1.854527</v>
      </c>
      <c r="E152" s="6">
        <v>2.314654</v>
      </c>
      <c r="F152" s="8">
        <v>149</v>
      </c>
      <c r="G152" s="1">
        <v>135</v>
      </c>
      <c r="H152" s="1">
        <v>153</v>
      </c>
      <c r="I152" s="7">
        <f>(C152-1)*100/($C$4-1)</f>
        <v>34.697884998238862</v>
      </c>
      <c r="J152" s="6">
        <v>1.7968249999999999</v>
      </c>
      <c r="K152" s="1">
        <v>149</v>
      </c>
      <c r="L152" s="6">
        <v>1.2724869999999999</v>
      </c>
      <c r="M152" s="1">
        <v>155</v>
      </c>
      <c r="N152" s="6">
        <v>1.9423280000000001</v>
      </c>
      <c r="O152" s="1">
        <v>149</v>
      </c>
      <c r="P152" s="6">
        <v>2.153527</v>
      </c>
      <c r="Q152" s="1">
        <v>141</v>
      </c>
      <c r="R152" s="6">
        <v>2.3479719999999999</v>
      </c>
      <c r="S152" s="1">
        <v>127</v>
      </c>
      <c r="T152" s="6">
        <v>2.903527</v>
      </c>
      <c r="U152" s="1">
        <v>109</v>
      </c>
    </row>
    <row r="153" spans="1:21" x14ac:dyDescent="0.2">
      <c r="A153" s="1" t="s">
        <v>11</v>
      </c>
      <c r="B153" s="1" t="s">
        <v>10</v>
      </c>
      <c r="C153" s="9">
        <v>2.0791149999999998</v>
      </c>
      <c r="D153" s="6">
        <v>1.795417</v>
      </c>
      <c r="E153" s="6">
        <v>2.3628130000000001</v>
      </c>
      <c r="F153" s="8">
        <v>150</v>
      </c>
      <c r="G153" s="1">
        <v>130</v>
      </c>
      <c r="H153" s="1">
        <v>154</v>
      </c>
      <c r="I153" s="7">
        <f>(C153-1)*100/($C$4-1)</f>
        <v>34.52269857473879</v>
      </c>
      <c r="J153" s="6">
        <v>1.7272730000000001</v>
      </c>
      <c r="K153" s="1">
        <v>153</v>
      </c>
      <c r="L153" s="6">
        <v>2.50101</v>
      </c>
      <c r="M153" s="1">
        <v>88</v>
      </c>
      <c r="N153" s="6">
        <v>1.8545450000000001</v>
      </c>
      <c r="O153" s="1">
        <v>152</v>
      </c>
      <c r="P153" s="6">
        <v>1.9845120000000001</v>
      </c>
      <c r="Q153" s="1">
        <v>151</v>
      </c>
      <c r="R153" s="6">
        <v>2.1360269999999999</v>
      </c>
      <c r="S153" s="1">
        <v>141</v>
      </c>
      <c r="T153" s="6">
        <v>2.348754</v>
      </c>
      <c r="U153" s="1">
        <v>150</v>
      </c>
    </row>
    <row r="154" spans="1:21" x14ac:dyDescent="0.2">
      <c r="A154" s="1" t="s">
        <v>9</v>
      </c>
      <c r="B154" s="1" t="s">
        <v>8</v>
      </c>
      <c r="C154" s="9">
        <v>2.0354390000000002</v>
      </c>
      <c r="D154" s="6">
        <v>1.744707</v>
      </c>
      <c r="E154" s="6">
        <v>2.326171</v>
      </c>
      <c r="F154" s="8">
        <v>151</v>
      </c>
      <c r="G154" s="1">
        <v>134</v>
      </c>
      <c r="H154" s="1">
        <v>154</v>
      </c>
      <c r="I154" s="7">
        <f>(C154-1)*100/($C$4-1)</f>
        <v>33.125430088108288</v>
      </c>
      <c r="J154" s="6">
        <v>2.1958120000000001</v>
      </c>
      <c r="K154" s="1">
        <v>125</v>
      </c>
      <c r="L154" s="6">
        <v>1.8696299999999999</v>
      </c>
      <c r="M154" s="1">
        <v>149</v>
      </c>
      <c r="N154" s="6">
        <v>1.85989</v>
      </c>
      <c r="O154" s="1">
        <v>151</v>
      </c>
      <c r="P154" s="6">
        <v>2.1200899999999998</v>
      </c>
      <c r="Q154" s="1">
        <v>146</v>
      </c>
      <c r="R154" s="6">
        <v>1.950391</v>
      </c>
      <c r="S154" s="1">
        <v>149</v>
      </c>
      <c r="T154" s="6">
        <v>2.2081209999999998</v>
      </c>
      <c r="U154" s="1">
        <v>153</v>
      </c>
    </row>
    <row r="155" spans="1:21" x14ac:dyDescent="0.2">
      <c r="A155" s="1" t="s">
        <v>7</v>
      </c>
      <c r="B155" s="1" t="s">
        <v>6</v>
      </c>
      <c r="C155" s="9">
        <v>2.029731</v>
      </c>
      <c r="D155" s="6">
        <v>1.6846350000000001</v>
      </c>
      <c r="E155" s="6">
        <v>2.3748260000000001</v>
      </c>
      <c r="F155" s="8">
        <v>152</v>
      </c>
      <c r="G155" s="1">
        <v>129</v>
      </c>
      <c r="H155" s="1">
        <v>154</v>
      </c>
      <c r="I155" s="7">
        <f>(C155-1)*100/($C$4-1)</f>
        <v>32.942821595533701</v>
      </c>
      <c r="J155" s="6">
        <v>1.857143</v>
      </c>
      <c r="K155" s="1">
        <v>148</v>
      </c>
      <c r="L155" s="6">
        <v>2</v>
      </c>
      <c r="M155" s="1">
        <v>142</v>
      </c>
      <c r="N155" s="6">
        <v>2</v>
      </c>
      <c r="O155" s="1">
        <v>146</v>
      </c>
      <c r="P155" s="6">
        <v>2</v>
      </c>
      <c r="Q155" s="1">
        <v>150</v>
      </c>
      <c r="R155" s="6">
        <v>1.571429</v>
      </c>
      <c r="S155" s="1">
        <v>155</v>
      </c>
      <c r="T155" s="6">
        <v>2.714286</v>
      </c>
      <c r="U155" s="1">
        <v>133</v>
      </c>
    </row>
    <row r="156" spans="1:21" x14ac:dyDescent="0.2">
      <c r="A156" s="1" t="s">
        <v>5</v>
      </c>
      <c r="B156" s="1" t="s">
        <v>4</v>
      </c>
      <c r="C156" s="9">
        <v>2.0263249999999999</v>
      </c>
      <c r="D156" s="6">
        <v>1.8661460000000001</v>
      </c>
      <c r="E156" s="6">
        <v>2.1865049999999999</v>
      </c>
      <c r="F156" s="8">
        <v>153</v>
      </c>
      <c r="G156" s="1">
        <v>145</v>
      </c>
      <c r="H156" s="1">
        <v>153</v>
      </c>
      <c r="I156" s="7">
        <f>(C156-1)*100/($C$4-1)</f>
        <v>32.833857943517415</v>
      </c>
      <c r="J156" s="6">
        <v>1.7832060000000001</v>
      </c>
      <c r="K156" s="1">
        <v>150</v>
      </c>
      <c r="L156" s="6">
        <v>1.7777780000000001</v>
      </c>
      <c r="M156" s="1">
        <v>151</v>
      </c>
      <c r="N156" s="6">
        <v>1.943333</v>
      </c>
      <c r="O156" s="1">
        <v>148</v>
      </c>
      <c r="P156" s="6">
        <v>1.737636</v>
      </c>
      <c r="Q156" s="1">
        <v>154</v>
      </c>
      <c r="R156" s="6">
        <v>2.1495039999999999</v>
      </c>
      <c r="S156" s="1">
        <v>139</v>
      </c>
      <c r="T156" s="6">
        <v>2.736027</v>
      </c>
      <c r="U156" s="1">
        <v>129</v>
      </c>
    </row>
    <row r="157" spans="1:21" x14ac:dyDescent="0.2">
      <c r="A157" s="1" t="s">
        <v>3</v>
      </c>
      <c r="B157" s="1" t="s">
        <v>2</v>
      </c>
      <c r="C157" s="9">
        <v>1.7978350000000001</v>
      </c>
      <c r="D157" s="6">
        <v>1.5778160000000001</v>
      </c>
      <c r="E157" s="6">
        <v>2.0178539999999998</v>
      </c>
      <c r="F157" s="8">
        <v>154</v>
      </c>
      <c r="G157" s="1">
        <v>154</v>
      </c>
      <c r="H157" s="1">
        <v>155</v>
      </c>
      <c r="I157" s="7">
        <f>(C157-1)*100/($C$4-1)</f>
        <v>25.524079655436843</v>
      </c>
      <c r="J157" s="6">
        <v>1.7181820000000001</v>
      </c>
      <c r="K157" s="1">
        <v>154</v>
      </c>
      <c r="L157" s="6">
        <v>1.506643</v>
      </c>
      <c r="M157" s="1">
        <v>154</v>
      </c>
      <c r="N157" s="6">
        <v>1.7657339999999999</v>
      </c>
      <c r="O157" s="1">
        <v>154</v>
      </c>
      <c r="P157" s="6">
        <v>1.8362860000000001</v>
      </c>
      <c r="Q157" s="1">
        <v>153</v>
      </c>
      <c r="R157" s="6">
        <v>1.7251749999999999</v>
      </c>
      <c r="S157" s="1">
        <v>153</v>
      </c>
      <c r="T157" s="6">
        <v>2.1903260000000002</v>
      </c>
      <c r="U157" s="1">
        <v>154</v>
      </c>
    </row>
    <row r="158" spans="1:21" x14ac:dyDescent="0.2">
      <c r="A158" s="1" t="s">
        <v>1</v>
      </c>
      <c r="B158" s="1" t="s">
        <v>0</v>
      </c>
      <c r="C158" s="9">
        <v>1.6099600000000001</v>
      </c>
      <c r="D158" s="6">
        <v>1.28556</v>
      </c>
      <c r="E158" s="6">
        <v>1.9343600000000001</v>
      </c>
      <c r="F158" s="8">
        <v>155</v>
      </c>
      <c r="G158" s="1">
        <v>154</v>
      </c>
      <c r="H158" s="1">
        <v>155</v>
      </c>
      <c r="I158" s="7">
        <f>(C158-1)*100/($C$4-1)</f>
        <v>19.513643330551126</v>
      </c>
      <c r="J158" s="6">
        <v>1.665079</v>
      </c>
      <c r="K158" s="1">
        <v>155</v>
      </c>
      <c r="L158" s="6">
        <v>1.6790480000000001</v>
      </c>
      <c r="M158" s="1">
        <v>153</v>
      </c>
      <c r="N158" s="6">
        <v>1.571429</v>
      </c>
      <c r="O158" s="1">
        <v>155</v>
      </c>
      <c r="P158" s="6">
        <v>1.428571</v>
      </c>
      <c r="Q158" s="1">
        <v>155</v>
      </c>
      <c r="R158" s="6">
        <v>1.665079</v>
      </c>
      <c r="S158" s="1">
        <v>154</v>
      </c>
      <c r="T158" s="6">
        <v>1.665079</v>
      </c>
      <c r="U158" s="1">
        <v>155</v>
      </c>
    </row>
    <row r="159" spans="1:21" x14ac:dyDescent="0.2">
      <c r="K159" s="3"/>
      <c r="O159" s="1"/>
      <c r="Q159" s="1"/>
      <c r="U159" s="1"/>
    </row>
  </sheetData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Rønnebek Hansen</dc:creator>
  <cp:lastModifiedBy>Thomas Rønnebek Hansen</cp:lastModifiedBy>
  <dcterms:created xsi:type="dcterms:W3CDTF">2026-03-17T13:25:31Z</dcterms:created>
  <dcterms:modified xsi:type="dcterms:W3CDTF">2026-03-17T13:26:38Z</dcterms:modified>
</cp:coreProperties>
</file>