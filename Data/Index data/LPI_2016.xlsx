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8_{92EDA569-88A6-E64F-A57D-E4FF54174B8F}" xr6:coauthVersionLast="47" xr6:coauthVersionMax="47" xr10:uidLastSave="{00000000-0000-0000-0000-000000000000}"/>
  <bookViews>
    <workbookView xWindow="-51200" yWindow="2360" windowWidth="51200" windowHeight="28200" xr2:uid="{B987FA1F-4547-054F-B8A2-8BF562A26429}"/>
  </bookViews>
  <sheets>
    <sheet name="2016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</calcChain>
</file>

<file path=xl/sharedStrings.xml><?xml version="1.0" encoding="utf-8"?>
<sst xmlns="http://schemas.openxmlformats.org/spreadsheetml/2006/main" count="349" uniqueCount="335">
  <si>
    <t>SYR</t>
  </si>
  <si>
    <t>Syrian Arab Republic</t>
  </si>
  <si>
    <t>HTI</t>
  </si>
  <si>
    <t>Haiti</t>
  </si>
  <si>
    <t>SOM</t>
  </si>
  <si>
    <t>Somalia</t>
  </si>
  <si>
    <t>MRT</t>
  </si>
  <si>
    <t>Mauritania</t>
  </si>
  <si>
    <t>GNQ</t>
  </si>
  <si>
    <t>Equatorial Guinea</t>
  </si>
  <si>
    <t>SLE</t>
  </si>
  <si>
    <t>Sierra Leone</t>
  </si>
  <si>
    <t>LSO</t>
  </si>
  <si>
    <t>Lesotho</t>
  </si>
  <si>
    <t>TJK</t>
  </si>
  <si>
    <t>Tajikistan</t>
  </si>
  <si>
    <t>LAO</t>
  </si>
  <si>
    <t>Lao PDR</t>
  </si>
  <si>
    <t>ZWE</t>
  </si>
  <si>
    <t>Zimbabwe</t>
  </si>
  <si>
    <t>AFG</t>
  </si>
  <si>
    <t>Afghanistan</t>
  </si>
  <si>
    <t>IRQ</t>
  </si>
  <si>
    <t>Iraq</t>
  </si>
  <si>
    <t>CMR</t>
  </si>
  <si>
    <t>Cameroon</t>
  </si>
  <si>
    <t>MDG</t>
  </si>
  <si>
    <t>Madagascar</t>
  </si>
  <si>
    <t>KGZ</t>
  </si>
  <si>
    <t>Kyrgyz Republic</t>
  </si>
  <si>
    <t>TCD</t>
  </si>
  <si>
    <t>Chad</t>
  </si>
  <si>
    <t>ERI</t>
  </si>
  <si>
    <t>Eritrea</t>
  </si>
  <si>
    <t>GAB</t>
  </si>
  <si>
    <t>Gabon</t>
  </si>
  <si>
    <t>LBR</t>
  </si>
  <si>
    <t>Liberia</t>
  </si>
  <si>
    <t>ARM</t>
  </si>
  <si>
    <t>Armenia</t>
  </si>
  <si>
    <t>TKM</t>
  </si>
  <si>
    <t>Turkmenistan</t>
  </si>
  <si>
    <t>AGO</t>
  </si>
  <si>
    <t>Angola</t>
  </si>
  <si>
    <t>BOL</t>
  </si>
  <si>
    <t>Bolivia</t>
  </si>
  <si>
    <t>LBY</t>
  </si>
  <si>
    <t>Libya</t>
  </si>
  <si>
    <t>FJI</t>
  </si>
  <si>
    <t>Fiji</t>
  </si>
  <si>
    <t>BTN</t>
  </si>
  <si>
    <t>Bhutan</t>
  </si>
  <si>
    <t>DJI</t>
  </si>
  <si>
    <t>Djibouti</t>
  </si>
  <si>
    <t>STP</t>
  </si>
  <si>
    <t>São Tomé and Principe</t>
  </si>
  <si>
    <t>SEN</t>
  </si>
  <si>
    <t>Senegal</t>
  </si>
  <si>
    <t>CUB</t>
  </si>
  <si>
    <t>Cuba</t>
  </si>
  <si>
    <t>GEO</t>
  </si>
  <si>
    <t>Georgia</t>
  </si>
  <si>
    <t>GIN</t>
  </si>
  <si>
    <t>Guinea</t>
  </si>
  <si>
    <t>GNB</t>
  </si>
  <si>
    <t>Guinea-Bissau</t>
  </si>
  <si>
    <t>ZAR</t>
  </si>
  <si>
    <t>Congo, Dem, Rep,</t>
  </si>
  <si>
    <t>ETH</t>
  </si>
  <si>
    <t>Ethiopia</t>
  </si>
  <si>
    <t>COG</t>
  </si>
  <si>
    <t>Congo, Rep,</t>
  </si>
  <si>
    <t>NPL</t>
  </si>
  <si>
    <t>Nepal</t>
  </si>
  <si>
    <t>MNE</t>
  </si>
  <si>
    <t>Montenegro</t>
  </si>
  <si>
    <t>VEN</t>
  </si>
  <si>
    <t>Venezuela, RB</t>
  </si>
  <si>
    <t>TTO</t>
  </si>
  <si>
    <t>Trinidad and Tobago</t>
  </si>
  <si>
    <t>BLR</t>
  </si>
  <si>
    <t>Belarus</t>
  </si>
  <si>
    <t>JAM</t>
  </si>
  <si>
    <t>Jamaica</t>
  </si>
  <si>
    <t>UZB</t>
  </si>
  <si>
    <t>Uzbekistan</t>
  </si>
  <si>
    <t>ALB</t>
  </si>
  <si>
    <t>Albania</t>
  </si>
  <si>
    <t>SLB</t>
  </si>
  <si>
    <t>Solomon Islands</t>
  </si>
  <si>
    <t>BEN</t>
  </si>
  <si>
    <t>Benin</t>
  </si>
  <si>
    <t>ZMB</t>
  </si>
  <si>
    <t>Zambia</t>
  </si>
  <si>
    <t>MMR</t>
  </si>
  <si>
    <t>Myanmar</t>
  </si>
  <si>
    <t>HND</t>
  </si>
  <si>
    <t>Honduras</t>
  </si>
  <si>
    <t>GTM</t>
  </si>
  <si>
    <t>Guatemala</t>
  </si>
  <si>
    <t>TUN</t>
  </si>
  <si>
    <t>Tunisia</t>
  </si>
  <si>
    <t>MLI</t>
  </si>
  <si>
    <t>Mali</t>
  </si>
  <si>
    <t>MNG</t>
  </si>
  <si>
    <t>Mongolia</t>
  </si>
  <si>
    <t>BDI</t>
  </si>
  <si>
    <t>Burundi</t>
  </si>
  <si>
    <t>MKD</t>
  </si>
  <si>
    <t>Macedonia, FYR</t>
  </si>
  <si>
    <t>PNG</t>
  </si>
  <si>
    <t>Papua New Guinea</t>
  </si>
  <si>
    <t>MDV</t>
  </si>
  <si>
    <t>Maldives</t>
  </si>
  <si>
    <t>SDN</t>
  </si>
  <si>
    <t>Sudan</t>
  </si>
  <si>
    <t>NIC</t>
  </si>
  <si>
    <t>Nicaragua</t>
  </si>
  <si>
    <t>PRY</t>
  </si>
  <si>
    <t>Paraguay</t>
  </si>
  <si>
    <t>NER</t>
  </si>
  <si>
    <t>Niger</t>
  </si>
  <si>
    <t>RUS</t>
  </si>
  <si>
    <t>Russian Federation</t>
  </si>
  <si>
    <t>COM</t>
  </si>
  <si>
    <t>Comoros</t>
  </si>
  <si>
    <t>BIH</t>
  </si>
  <si>
    <t>Bosnia and Herzegovina</t>
  </si>
  <si>
    <t>IRN</t>
  </si>
  <si>
    <t>Iran, Islamic Rep,</t>
  </si>
  <si>
    <t>CIV</t>
  </si>
  <si>
    <t>Côte d'Ivoire</t>
  </si>
  <si>
    <t>COL</t>
  </si>
  <si>
    <t>Colombia</t>
  </si>
  <si>
    <t>MDA</t>
  </si>
  <si>
    <t>Moldova</t>
  </si>
  <si>
    <t>TGO</t>
  </si>
  <si>
    <t>Togo</t>
  </si>
  <si>
    <t>DOM</t>
  </si>
  <si>
    <t>Dominican Republic</t>
  </si>
  <si>
    <t>NGA</t>
  </si>
  <si>
    <t>Nigeria</t>
  </si>
  <si>
    <t>CRI</t>
  </si>
  <si>
    <t>Costa Rica</t>
  </si>
  <si>
    <t>GHA</t>
  </si>
  <si>
    <t>Ghana</t>
  </si>
  <si>
    <t>BGD</t>
  </si>
  <si>
    <t>Bangladesh</t>
  </si>
  <si>
    <t>MAR</t>
  </si>
  <si>
    <t>Morocco</t>
  </si>
  <si>
    <t>GUY</t>
  </si>
  <si>
    <t>Guyana</t>
  </si>
  <si>
    <t>MOZ</t>
  </si>
  <si>
    <t>Mozambique</t>
  </si>
  <si>
    <t>SLV</t>
  </si>
  <si>
    <t>El Salvador</t>
  </si>
  <si>
    <t>LBN</t>
  </si>
  <si>
    <t>Lebanon</t>
  </si>
  <si>
    <t>BFA</t>
  </si>
  <si>
    <t>Burkina Faso</t>
  </si>
  <si>
    <t>UKR</t>
  </si>
  <si>
    <t>Ukraine</t>
  </si>
  <si>
    <t>NAM</t>
  </si>
  <si>
    <t>Namibia</t>
  </si>
  <si>
    <t>BHS</t>
  </si>
  <si>
    <t>Bahamas, The</t>
  </si>
  <si>
    <t>KAZ</t>
  </si>
  <si>
    <t>Kazakhstan</t>
  </si>
  <si>
    <t>SRB</t>
  </si>
  <si>
    <t>Serbia</t>
  </si>
  <si>
    <t>DZA</t>
  </si>
  <si>
    <t>Algeria</t>
  </si>
  <si>
    <t>ECU</t>
  </si>
  <si>
    <t>Ecuador</t>
  </si>
  <si>
    <t>KHM</t>
  </si>
  <si>
    <t>Cambodia</t>
  </si>
  <si>
    <t>BGR</t>
  </si>
  <si>
    <t>Bulgaria</t>
  </si>
  <si>
    <t>PHL</t>
  </si>
  <si>
    <t>Philippines</t>
  </si>
  <si>
    <t>BRN</t>
  </si>
  <si>
    <t>Brunei Darussalam</t>
  </si>
  <si>
    <t>PER</t>
  </si>
  <si>
    <t>Peru</t>
  </si>
  <si>
    <t>PAK</t>
  </si>
  <si>
    <t>Pakistan</t>
  </si>
  <si>
    <t>JOR</t>
  </si>
  <si>
    <t>Jordan</t>
  </si>
  <si>
    <t>ARG</t>
  </si>
  <si>
    <t>Argentina</t>
  </si>
  <si>
    <t>URY</t>
  </si>
  <si>
    <t>Uruguay</t>
  </si>
  <si>
    <t>VNM</t>
  </si>
  <si>
    <t>Vietnam</t>
  </si>
  <si>
    <t>IDN</t>
  </si>
  <si>
    <t>Indonesia</t>
  </si>
  <si>
    <t>RWA</t>
  </si>
  <si>
    <t>Rwanda</t>
  </si>
  <si>
    <t>TZA</t>
  </si>
  <si>
    <t>Tanzania</t>
  </si>
  <si>
    <t>ROM</t>
  </si>
  <si>
    <t>Romania</t>
  </si>
  <si>
    <t>CYP</t>
  </si>
  <si>
    <t>Cyprus</t>
  </si>
  <si>
    <t>UGA</t>
  </si>
  <si>
    <t>Uganda</t>
  </si>
  <si>
    <t>BWA</t>
  </si>
  <si>
    <t>Botswana</t>
  </si>
  <si>
    <t>MLT</t>
  </si>
  <si>
    <t>Malta</t>
  </si>
  <si>
    <t>BRA</t>
  </si>
  <si>
    <t>Brazil</t>
  </si>
  <si>
    <t>MEX</t>
  </si>
  <si>
    <t>Mexico</t>
  </si>
  <si>
    <t>KWT</t>
  </si>
  <si>
    <t>Kuwait</t>
  </si>
  <si>
    <t>SAU</t>
  </si>
  <si>
    <t>Saudi Arabia</t>
  </si>
  <si>
    <t>HRV</t>
  </si>
  <si>
    <t>Croatia</t>
  </si>
  <si>
    <t>SVN</t>
  </si>
  <si>
    <t>Slovenia</t>
  </si>
  <si>
    <t>EGY</t>
  </si>
  <si>
    <t>Egypt, Arab Rep,</t>
  </si>
  <si>
    <t>OMN</t>
  </si>
  <si>
    <t>Oman</t>
  </si>
  <si>
    <t>GRC</t>
  </si>
  <si>
    <t>Greece</t>
  </si>
  <si>
    <t>CHL</t>
  </si>
  <si>
    <t>Chile</t>
  </si>
  <si>
    <t>THA</t>
  </si>
  <si>
    <t>Thailand</t>
  </si>
  <si>
    <t>BHR</t>
  </si>
  <si>
    <t>Bahrain</t>
  </si>
  <si>
    <t>LVA</t>
  </si>
  <si>
    <t>Latvia</t>
  </si>
  <si>
    <t>KEN</t>
  </si>
  <si>
    <t>Kenya</t>
  </si>
  <si>
    <t>SVK</t>
  </si>
  <si>
    <t>Slovak Republic</t>
  </si>
  <si>
    <t>PAN</t>
  </si>
  <si>
    <t>Panama</t>
  </si>
  <si>
    <t>ISL</t>
  </si>
  <si>
    <t>Iceland</t>
  </si>
  <si>
    <t>EST</t>
  </si>
  <si>
    <t>Estonia</t>
  </si>
  <si>
    <t>NZL</t>
  </si>
  <si>
    <t>New Zealand</t>
  </si>
  <si>
    <t>PRT</t>
  </si>
  <si>
    <t>Portugal</t>
  </si>
  <si>
    <t>IND</t>
  </si>
  <si>
    <t>India</t>
  </si>
  <si>
    <t>TUR</t>
  </si>
  <si>
    <t>Turkey</t>
  </si>
  <si>
    <t>POL</t>
  </si>
  <si>
    <t>Poland</t>
  </si>
  <si>
    <t>MYS</t>
  </si>
  <si>
    <t>Malaysia</t>
  </si>
  <si>
    <t>HUN</t>
  </si>
  <si>
    <t>Hungary</t>
  </si>
  <si>
    <t>QAT</t>
  </si>
  <si>
    <t>Qatar</t>
  </si>
  <si>
    <t>LTU</t>
  </si>
  <si>
    <t>Lithuania</t>
  </si>
  <si>
    <t>ISR</t>
  </si>
  <si>
    <t>Israel</t>
  </si>
  <si>
    <t>CHN</t>
  </si>
  <si>
    <t>China</t>
  </si>
  <si>
    <t>CZE</t>
  </si>
  <si>
    <t>Czech Republic</t>
  </si>
  <si>
    <t>TWN</t>
  </si>
  <si>
    <t>Taiwan, China</t>
  </si>
  <si>
    <t>KOR</t>
  </si>
  <si>
    <t>Korea, Rep,</t>
  </si>
  <si>
    <t>ESP</t>
  </si>
  <si>
    <t>Spain</t>
  </si>
  <si>
    <t>NOR</t>
  </si>
  <si>
    <t>Norway</t>
  </si>
  <si>
    <t>ITA</t>
  </si>
  <si>
    <t>Italy</t>
  </si>
  <si>
    <t>ZAF</t>
  </si>
  <si>
    <t>South Africa</t>
  </si>
  <si>
    <t>AUS</t>
  </si>
  <si>
    <t>Australia</t>
  </si>
  <si>
    <t>IRL</t>
  </si>
  <si>
    <t>Ireland</t>
  </si>
  <si>
    <t>DNK</t>
  </si>
  <si>
    <t>Denmark</t>
  </si>
  <si>
    <t>FRA</t>
  </si>
  <si>
    <t>France</t>
  </si>
  <si>
    <t>FIN</t>
  </si>
  <si>
    <t>Finland</t>
  </si>
  <si>
    <t>CAN</t>
  </si>
  <si>
    <t>Canada</t>
  </si>
  <si>
    <t>ARE</t>
  </si>
  <si>
    <t>United Arab Emirates</t>
  </si>
  <si>
    <t>JPN</t>
  </si>
  <si>
    <t>Japan</t>
  </si>
  <si>
    <t>CHE</t>
  </si>
  <si>
    <t>Switzerland</t>
  </si>
  <si>
    <t>USA</t>
  </si>
  <si>
    <t>United States</t>
  </si>
  <si>
    <t>HKG</t>
  </si>
  <si>
    <t>Hong Kong SAR, China</t>
  </si>
  <si>
    <t>GBR</t>
  </si>
  <si>
    <t>United Kingdom</t>
  </si>
  <si>
    <t>AUT</t>
  </si>
  <si>
    <t>Austria</t>
  </si>
  <si>
    <t>BEL</t>
  </si>
  <si>
    <t>Belgium</t>
  </si>
  <si>
    <t>SGP</t>
  </si>
  <si>
    <t>Singapore</t>
  </si>
  <si>
    <t>NLD</t>
  </si>
  <si>
    <t>Netherlands</t>
  </si>
  <si>
    <t>SWE</t>
  </si>
  <si>
    <t>Sweden</t>
  </si>
  <si>
    <t>LUX</t>
  </si>
  <si>
    <t>Luxembourg</t>
  </si>
  <si>
    <t>DEU</t>
  </si>
  <si>
    <t>Germany</t>
  </si>
  <si>
    <t>rank</t>
  </si>
  <si>
    <t>score</t>
  </si>
  <si>
    <t>% of highest performer</t>
  </si>
  <si>
    <t>upper bound</t>
  </si>
  <si>
    <t>lower bound</t>
  </si>
  <si>
    <t>Code</t>
  </si>
  <si>
    <t>Country</t>
  </si>
  <si>
    <t>Timeliness</t>
  </si>
  <si>
    <t>Tracking and tracing</t>
  </si>
  <si>
    <t>Logistics quality and competence</t>
  </si>
  <si>
    <t>International shipments</t>
  </si>
  <si>
    <t>Infrastructure</t>
  </si>
  <si>
    <t>Customs</t>
  </si>
  <si>
    <t>overall LPI rank</t>
  </si>
  <si>
    <t>overall LPI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</si>
</sst>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1" fontId="1" fillId="0" borderId="0" xfId="1" applyNumberFormat="1"/>
    <xf numFmtId="2" fontId="1" fillId="0" borderId="0" xfId="1" applyNumberForma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37DACDEA-ECA9-DB40-8426-38754C4CD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588A-F1E0-8A41-89B1-8991329935ED}">
  <dimension ref="A1:U214"/>
  <sheetViews>
    <sheetView tabSelected="1" workbookViewId="0">
      <selection activeCell="A136" sqref="A136"/>
    </sheetView>
  </sheetViews>
  <sheetFormatPr baseColWidth="10" defaultColWidth="11.5" defaultRowHeight="15" x14ac:dyDescent="0.2"/>
  <cols>
    <col min="1" max="9" width="11.5" style="1"/>
    <col min="10" max="10" width="10.83203125" style="1" customWidth="1"/>
    <col min="11" max="16384" width="11.5" style="1"/>
  </cols>
  <sheetData>
    <row r="1" spans="1:21" x14ac:dyDescent="0.2">
      <c r="C1" s="6" t="s">
        <v>334</v>
      </c>
      <c r="D1" s="6"/>
      <c r="E1" s="6"/>
      <c r="F1" s="6" t="s">
        <v>333</v>
      </c>
      <c r="G1" s="6"/>
      <c r="H1" s="6"/>
      <c r="J1" s="7" t="s">
        <v>332</v>
      </c>
      <c r="L1" s="7" t="s">
        <v>331</v>
      </c>
      <c r="N1" s="7" t="s">
        <v>330</v>
      </c>
      <c r="P1" s="7" t="s">
        <v>329</v>
      </c>
      <c r="R1" s="7" t="s">
        <v>328</v>
      </c>
      <c r="T1" s="7" t="s">
        <v>327</v>
      </c>
    </row>
    <row r="2" spans="1:21" x14ac:dyDescent="0.2">
      <c r="J2" s="7"/>
      <c r="L2" s="7"/>
      <c r="N2" s="7"/>
      <c r="P2" s="7"/>
      <c r="R2" s="7"/>
      <c r="T2" s="7"/>
    </row>
    <row r="3" spans="1:21" x14ac:dyDescent="0.2">
      <c r="A3" s="6" t="s">
        <v>326</v>
      </c>
      <c r="B3" s="6" t="s">
        <v>325</v>
      </c>
      <c r="C3" s="5" t="s">
        <v>321</v>
      </c>
      <c r="D3" s="5" t="s">
        <v>324</v>
      </c>
      <c r="E3" s="5" t="s">
        <v>323</v>
      </c>
      <c r="F3" s="5" t="s">
        <v>320</v>
      </c>
      <c r="G3" s="5" t="s">
        <v>324</v>
      </c>
      <c r="H3" s="5" t="s">
        <v>323</v>
      </c>
      <c r="I3" s="4" t="s">
        <v>322</v>
      </c>
      <c r="J3" s="4" t="s">
        <v>321</v>
      </c>
      <c r="K3" s="4" t="s">
        <v>320</v>
      </c>
      <c r="L3" s="4" t="s">
        <v>321</v>
      </c>
      <c r="M3" s="4" t="s">
        <v>320</v>
      </c>
      <c r="N3" s="4" t="s">
        <v>321</v>
      </c>
      <c r="O3" s="4" t="s">
        <v>320</v>
      </c>
      <c r="P3" s="4" t="s">
        <v>321</v>
      </c>
      <c r="Q3" s="4" t="s">
        <v>320</v>
      </c>
      <c r="R3" s="4" t="s">
        <v>321</v>
      </c>
      <c r="S3" s="4" t="s">
        <v>320</v>
      </c>
      <c r="T3" s="4" t="s">
        <v>321</v>
      </c>
      <c r="U3" s="4" t="s">
        <v>320</v>
      </c>
    </row>
    <row r="4" spans="1:21" x14ac:dyDescent="0.2">
      <c r="A4" s="1" t="s">
        <v>319</v>
      </c>
      <c r="B4" s="1" t="s">
        <v>318</v>
      </c>
      <c r="C4" s="3">
        <v>4.2259669999999998</v>
      </c>
      <c r="D4" s="3">
        <v>4.1823230000000002</v>
      </c>
      <c r="E4" s="3">
        <v>4.2696110000000003</v>
      </c>
      <c r="F4" s="2">
        <v>1</v>
      </c>
      <c r="G4" s="2">
        <v>1</v>
      </c>
      <c r="H4" s="2">
        <v>4</v>
      </c>
      <c r="I4" s="3">
        <f>(C4-1)*100/($C$4-1)</f>
        <v>100</v>
      </c>
      <c r="J4" s="3">
        <v>4.1230669999999998</v>
      </c>
      <c r="K4" s="2">
        <v>2</v>
      </c>
      <c r="L4" s="3">
        <v>4.4393560000000001</v>
      </c>
      <c r="M4" s="2">
        <v>1</v>
      </c>
      <c r="N4" s="3">
        <v>3.8572410000000001</v>
      </c>
      <c r="O4" s="2">
        <v>8</v>
      </c>
      <c r="P4" s="3">
        <v>4.2790499999999998</v>
      </c>
      <c r="Q4" s="2">
        <v>1</v>
      </c>
      <c r="R4" s="3">
        <v>4.26539</v>
      </c>
      <c r="S4" s="2">
        <v>3</v>
      </c>
      <c r="T4" s="3">
        <v>4.4533680000000002</v>
      </c>
      <c r="U4" s="2">
        <v>2</v>
      </c>
    </row>
    <row r="5" spans="1:21" x14ac:dyDescent="0.2">
      <c r="A5" s="1" t="s">
        <v>317</v>
      </c>
      <c r="B5" s="1" t="s">
        <v>316</v>
      </c>
      <c r="C5" s="3">
        <v>4.2194089999999997</v>
      </c>
      <c r="D5" s="3">
        <v>3.9696570000000002</v>
      </c>
      <c r="E5" s="3">
        <v>4.4691619999999999</v>
      </c>
      <c r="F5" s="2">
        <v>2</v>
      </c>
      <c r="G5" s="2">
        <v>1</v>
      </c>
      <c r="H5" s="2">
        <v>12</v>
      </c>
      <c r="I5" s="3">
        <f>(C5-1)*100/($C$4-1)</f>
        <v>99.79671211763791</v>
      </c>
      <c r="J5" s="3">
        <v>3.9</v>
      </c>
      <c r="K5" s="2">
        <v>9</v>
      </c>
      <c r="L5" s="3">
        <v>4.2350000000000003</v>
      </c>
      <c r="M5" s="2">
        <v>4</v>
      </c>
      <c r="N5" s="3">
        <v>4.2350000000000003</v>
      </c>
      <c r="O5" s="2">
        <v>1</v>
      </c>
      <c r="P5" s="3">
        <v>4.01</v>
      </c>
      <c r="Q5" s="2">
        <v>10</v>
      </c>
      <c r="R5" s="3">
        <v>4.1224999999999996</v>
      </c>
      <c r="S5" s="2">
        <v>8</v>
      </c>
      <c r="T5" s="3">
        <v>4.7957140000000003</v>
      </c>
      <c r="U5" s="2">
        <v>1</v>
      </c>
    </row>
    <row r="6" spans="1:21" x14ac:dyDescent="0.2">
      <c r="A6" s="1" t="s">
        <v>315</v>
      </c>
      <c r="B6" s="1" t="s">
        <v>314</v>
      </c>
      <c r="C6" s="3">
        <v>4.204593</v>
      </c>
      <c r="D6" s="3">
        <v>4.0938290000000004</v>
      </c>
      <c r="E6" s="3">
        <v>4.3153579999999998</v>
      </c>
      <c r="F6" s="2">
        <v>3</v>
      </c>
      <c r="G6" s="2">
        <v>1</v>
      </c>
      <c r="H6" s="2">
        <v>7</v>
      </c>
      <c r="I6" s="3">
        <f>(C6-1)*100/($C$4-1)</f>
        <v>99.337438975662181</v>
      </c>
      <c r="J6" s="3">
        <v>3.915508</v>
      </c>
      <c r="K6" s="2">
        <v>8</v>
      </c>
      <c r="L6" s="3">
        <v>4.2701320000000003</v>
      </c>
      <c r="M6" s="2">
        <v>3</v>
      </c>
      <c r="N6" s="3">
        <v>4.0034650000000003</v>
      </c>
      <c r="O6" s="2">
        <v>4</v>
      </c>
      <c r="P6" s="3">
        <v>4.2466150000000003</v>
      </c>
      <c r="Q6" s="2">
        <v>2</v>
      </c>
      <c r="R6" s="3">
        <v>4.3776780000000004</v>
      </c>
      <c r="S6" s="2">
        <v>1</v>
      </c>
      <c r="T6" s="3">
        <v>4.4528160000000003</v>
      </c>
      <c r="U6" s="2">
        <v>3</v>
      </c>
    </row>
    <row r="7" spans="1:21" x14ac:dyDescent="0.2">
      <c r="A7" s="1" t="s">
        <v>313</v>
      </c>
      <c r="B7" s="1" t="s">
        <v>312</v>
      </c>
      <c r="C7" s="3">
        <v>4.1875299999999998</v>
      </c>
      <c r="D7" s="3">
        <v>4.1078190000000001</v>
      </c>
      <c r="E7" s="3">
        <v>4.2672410000000003</v>
      </c>
      <c r="F7" s="2">
        <v>4</v>
      </c>
      <c r="G7" s="2">
        <v>1</v>
      </c>
      <c r="H7" s="2">
        <v>6</v>
      </c>
      <c r="I7" s="3">
        <f>(C7-1)*100/($C$4-1)</f>
        <v>98.808512300342812</v>
      </c>
      <c r="J7" s="3">
        <v>4.1229129999999996</v>
      </c>
      <c r="K7" s="2">
        <v>3</v>
      </c>
      <c r="L7" s="3">
        <v>4.2897429999999996</v>
      </c>
      <c r="M7" s="2">
        <v>2</v>
      </c>
      <c r="N7" s="3">
        <v>3.9440279999999999</v>
      </c>
      <c r="O7" s="2">
        <v>6</v>
      </c>
      <c r="P7" s="3">
        <v>4.2152399999999997</v>
      </c>
      <c r="Q7" s="2">
        <v>3</v>
      </c>
      <c r="R7" s="3">
        <v>4.1717769999999996</v>
      </c>
      <c r="S7" s="2">
        <v>6</v>
      </c>
      <c r="T7" s="3">
        <v>4.4131159999999996</v>
      </c>
      <c r="U7" s="2">
        <v>5</v>
      </c>
    </row>
    <row r="8" spans="1:21" x14ac:dyDescent="0.2">
      <c r="A8" s="1" t="s">
        <v>311</v>
      </c>
      <c r="B8" s="1" t="s">
        <v>310</v>
      </c>
      <c r="C8" s="3">
        <v>4.1436320000000002</v>
      </c>
      <c r="D8" s="3">
        <v>4.0641280000000002</v>
      </c>
      <c r="E8" s="3">
        <v>4.2231360000000002</v>
      </c>
      <c r="F8" s="2">
        <v>5</v>
      </c>
      <c r="G8" s="2">
        <v>2</v>
      </c>
      <c r="H8" s="2">
        <v>9</v>
      </c>
      <c r="I8" s="3">
        <f>(C8-1)*100/($C$4-1)</f>
        <v>97.447742025879379</v>
      </c>
      <c r="J8" s="3">
        <v>4.178941</v>
      </c>
      <c r="K8" s="2">
        <v>1</v>
      </c>
      <c r="L8" s="3">
        <v>4.2039600000000004</v>
      </c>
      <c r="M8" s="2">
        <v>6</v>
      </c>
      <c r="N8" s="3">
        <v>3.9565929999999998</v>
      </c>
      <c r="O8" s="2">
        <v>5</v>
      </c>
      <c r="P8" s="3">
        <v>4.0935300000000003</v>
      </c>
      <c r="Q8" s="2">
        <v>5</v>
      </c>
      <c r="R8" s="3">
        <v>4.0473710000000001</v>
      </c>
      <c r="S8" s="2">
        <v>10</v>
      </c>
      <c r="T8" s="3">
        <v>4.3952020000000003</v>
      </c>
      <c r="U8" s="2">
        <v>6</v>
      </c>
    </row>
    <row r="9" spans="1:21" x14ac:dyDescent="0.2">
      <c r="A9" s="1" t="s">
        <v>309</v>
      </c>
      <c r="B9" s="1" t="s">
        <v>308</v>
      </c>
      <c r="C9" s="3">
        <v>4.1085380000000002</v>
      </c>
      <c r="D9" s="3">
        <v>4.0378100000000003</v>
      </c>
      <c r="E9" s="3">
        <v>4.179265</v>
      </c>
      <c r="F9" s="2">
        <v>6</v>
      </c>
      <c r="G9" s="2">
        <v>5</v>
      </c>
      <c r="H9" s="2">
        <v>9</v>
      </c>
      <c r="I9" s="3">
        <f>(C9-1)*100/($C$4-1)</f>
        <v>96.359882168664484</v>
      </c>
      <c r="J9" s="3">
        <v>3.8296990000000002</v>
      </c>
      <c r="K9" s="2">
        <v>13</v>
      </c>
      <c r="L9" s="3">
        <v>4.0535569999999996</v>
      </c>
      <c r="M9" s="2">
        <v>14</v>
      </c>
      <c r="N9" s="3">
        <v>4.0509969999999997</v>
      </c>
      <c r="O9" s="2">
        <v>3</v>
      </c>
      <c r="P9" s="3">
        <v>4.0706020000000001</v>
      </c>
      <c r="Q9" s="2">
        <v>6</v>
      </c>
      <c r="R9" s="3">
        <v>4.2243940000000002</v>
      </c>
      <c r="S9" s="2">
        <v>4</v>
      </c>
      <c r="T9" s="3">
        <v>4.4261869999999996</v>
      </c>
      <c r="U9" s="2">
        <v>4</v>
      </c>
    </row>
    <row r="10" spans="1:21" x14ac:dyDescent="0.2">
      <c r="A10" s="1" t="s">
        <v>307</v>
      </c>
      <c r="B10" s="1" t="s">
        <v>306</v>
      </c>
      <c r="C10" s="3">
        <v>4.0979850000000004</v>
      </c>
      <c r="D10" s="3">
        <v>3.9828839999999999</v>
      </c>
      <c r="E10" s="3">
        <v>4.2130869999999998</v>
      </c>
      <c r="F10" s="2">
        <v>7</v>
      </c>
      <c r="G10" s="2">
        <v>3</v>
      </c>
      <c r="H10" s="2">
        <v>11</v>
      </c>
      <c r="I10" s="3">
        <f>(C10-1)*100/($C$4-1)</f>
        <v>96.032755449761282</v>
      </c>
      <c r="J10" s="3">
        <v>3.7908740000000001</v>
      </c>
      <c r="K10" s="2">
        <v>15</v>
      </c>
      <c r="L10" s="3">
        <v>4.0784099999999999</v>
      </c>
      <c r="M10" s="2">
        <v>12</v>
      </c>
      <c r="N10" s="3">
        <v>3.8500890000000001</v>
      </c>
      <c r="O10" s="2">
        <v>9</v>
      </c>
      <c r="P10" s="3">
        <v>4.1818629999999999</v>
      </c>
      <c r="Q10" s="2">
        <v>4</v>
      </c>
      <c r="R10" s="3">
        <v>4.3557870000000003</v>
      </c>
      <c r="S10" s="2">
        <v>2</v>
      </c>
      <c r="T10" s="3">
        <v>4.3718139999999996</v>
      </c>
      <c r="U10" s="2">
        <v>7</v>
      </c>
    </row>
    <row r="11" spans="1:21" x14ac:dyDescent="0.2">
      <c r="A11" s="1" t="s">
        <v>305</v>
      </c>
      <c r="B11" s="1" t="s">
        <v>304</v>
      </c>
      <c r="C11" s="3">
        <v>4.0696690000000002</v>
      </c>
      <c r="D11" s="3">
        <v>4.0293270000000003</v>
      </c>
      <c r="E11" s="3">
        <v>4.1100110000000001</v>
      </c>
      <c r="F11" s="2">
        <v>8</v>
      </c>
      <c r="G11" s="2">
        <v>6</v>
      </c>
      <c r="H11" s="2">
        <v>9</v>
      </c>
      <c r="I11" s="3">
        <f>(C11-1)*100/($C$4-1)</f>
        <v>95.155003135493956</v>
      </c>
      <c r="J11" s="3">
        <v>3.9837980000000002</v>
      </c>
      <c r="K11" s="2">
        <v>5</v>
      </c>
      <c r="L11" s="3">
        <v>4.20566</v>
      </c>
      <c r="M11" s="2">
        <v>5</v>
      </c>
      <c r="N11" s="3">
        <v>3.7663139999999999</v>
      </c>
      <c r="O11" s="2">
        <v>11</v>
      </c>
      <c r="P11" s="3">
        <v>4.0450799999999996</v>
      </c>
      <c r="Q11" s="2">
        <v>7</v>
      </c>
      <c r="R11" s="3">
        <v>4.1295700000000002</v>
      </c>
      <c r="S11" s="2">
        <v>7</v>
      </c>
      <c r="T11" s="3">
        <v>4.3348699999999996</v>
      </c>
      <c r="U11" s="2">
        <v>8</v>
      </c>
    </row>
    <row r="12" spans="1:21" x14ac:dyDescent="0.2">
      <c r="A12" s="1" t="s">
        <v>303</v>
      </c>
      <c r="B12" s="1" t="s">
        <v>302</v>
      </c>
      <c r="C12" s="3">
        <v>4.0691030000000001</v>
      </c>
      <c r="D12" s="3">
        <v>3.9951590000000001</v>
      </c>
      <c r="E12" s="3">
        <v>4.143046</v>
      </c>
      <c r="F12" s="2">
        <v>9</v>
      </c>
      <c r="G12" s="2">
        <v>6</v>
      </c>
      <c r="H12" s="2">
        <v>9</v>
      </c>
      <c r="I12" s="3">
        <f>(C12-1)*100/($C$4-1)</f>
        <v>95.137458008714916</v>
      </c>
      <c r="J12" s="3">
        <v>3.9377209999999998</v>
      </c>
      <c r="K12" s="2">
        <v>7</v>
      </c>
      <c r="L12" s="3">
        <v>4.1025989999999997</v>
      </c>
      <c r="M12" s="2">
        <v>10</v>
      </c>
      <c r="N12" s="3">
        <v>4.0546829999999998</v>
      </c>
      <c r="O12" s="2">
        <v>2</v>
      </c>
      <c r="P12" s="3">
        <v>3.9998800000000001</v>
      </c>
      <c r="Q12" s="2">
        <v>11</v>
      </c>
      <c r="R12" s="3">
        <v>4.0279049999999996</v>
      </c>
      <c r="S12" s="2">
        <v>14</v>
      </c>
      <c r="T12" s="3">
        <v>4.2896869999999998</v>
      </c>
      <c r="U12" s="2">
        <v>9</v>
      </c>
    </row>
    <row r="13" spans="1:21" x14ac:dyDescent="0.2">
      <c r="A13" s="1" t="s">
        <v>301</v>
      </c>
      <c r="B13" s="1" t="s">
        <v>300</v>
      </c>
      <c r="C13" s="3">
        <v>3.9921720000000001</v>
      </c>
      <c r="D13" s="3">
        <v>3.9427300000000001</v>
      </c>
      <c r="E13" s="3">
        <v>4.0416129999999999</v>
      </c>
      <c r="F13" s="2">
        <v>10</v>
      </c>
      <c r="G13" s="2">
        <v>10</v>
      </c>
      <c r="H13" s="2">
        <v>12</v>
      </c>
      <c r="I13" s="3">
        <f>(C13-1)*100/($C$4-1)</f>
        <v>92.752715697339752</v>
      </c>
      <c r="J13" s="3">
        <v>3.7524860000000002</v>
      </c>
      <c r="K13" s="2">
        <v>16</v>
      </c>
      <c r="L13" s="3">
        <v>4.1520109999999999</v>
      </c>
      <c r="M13" s="2">
        <v>8</v>
      </c>
      <c r="N13" s="3">
        <v>3.6503060000000001</v>
      </c>
      <c r="O13" s="2">
        <v>19</v>
      </c>
      <c r="P13" s="3">
        <v>4.0142259999999998</v>
      </c>
      <c r="Q13" s="2">
        <v>8</v>
      </c>
      <c r="R13" s="3">
        <v>4.2000250000000001</v>
      </c>
      <c r="S13" s="2">
        <v>5</v>
      </c>
      <c r="T13" s="3">
        <v>4.2505269999999999</v>
      </c>
      <c r="U13" s="2">
        <v>11</v>
      </c>
    </row>
    <row r="14" spans="1:21" x14ac:dyDescent="0.2">
      <c r="A14" s="1" t="s">
        <v>299</v>
      </c>
      <c r="B14" s="1" t="s">
        <v>298</v>
      </c>
      <c r="C14" s="3">
        <v>3.987158</v>
      </c>
      <c r="D14" s="3">
        <v>3.9185110000000001</v>
      </c>
      <c r="E14" s="3">
        <v>4.0558059999999996</v>
      </c>
      <c r="F14" s="2">
        <v>11</v>
      </c>
      <c r="G14" s="2">
        <v>10</v>
      </c>
      <c r="H14" s="2">
        <v>15</v>
      </c>
      <c r="I14" s="3">
        <f>(C14-1)*100/($C$4-1)</f>
        <v>92.59728943290493</v>
      </c>
      <c r="J14" s="3">
        <v>3.8799060000000001</v>
      </c>
      <c r="K14" s="2">
        <v>10</v>
      </c>
      <c r="L14" s="3">
        <v>4.1895230000000003</v>
      </c>
      <c r="M14" s="2">
        <v>7</v>
      </c>
      <c r="N14" s="3">
        <v>3.6897929999999999</v>
      </c>
      <c r="O14" s="2">
        <v>14</v>
      </c>
      <c r="P14" s="3">
        <v>3.9456069999999999</v>
      </c>
      <c r="Q14" s="2">
        <v>14</v>
      </c>
      <c r="R14" s="3">
        <v>4.0363790000000002</v>
      </c>
      <c r="S14" s="2">
        <v>12</v>
      </c>
      <c r="T14" s="3">
        <v>4.2350779999999997</v>
      </c>
      <c r="U14" s="2">
        <v>14</v>
      </c>
    </row>
    <row r="15" spans="1:21" x14ac:dyDescent="0.2">
      <c r="A15" s="1" t="s">
        <v>297</v>
      </c>
      <c r="B15" s="1" t="s">
        <v>296</v>
      </c>
      <c r="C15" s="3">
        <v>3.9704640000000002</v>
      </c>
      <c r="D15" s="3">
        <v>3.916064</v>
      </c>
      <c r="E15" s="3">
        <v>4.0248650000000001</v>
      </c>
      <c r="F15" s="2">
        <v>12</v>
      </c>
      <c r="G15" s="2">
        <v>10</v>
      </c>
      <c r="H15" s="2">
        <v>15</v>
      </c>
      <c r="I15" s="3">
        <f>(C15-1)*100/($C$4-1)</f>
        <v>92.079801188294866</v>
      </c>
      <c r="J15" s="3">
        <v>3.8484479999999999</v>
      </c>
      <c r="K15" s="2">
        <v>11</v>
      </c>
      <c r="L15" s="3">
        <v>4.0968869999999997</v>
      </c>
      <c r="M15" s="2">
        <v>11</v>
      </c>
      <c r="N15" s="3">
        <v>3.6945079999999999</v>
      </c>
      <c r="O15" s="2">
        <v>13</v>
      </c>
      <c r="P15" s="3">
        <v>3.9902329999999999</v>
      </c>
      <c r="Q15" s="2">
        <v>12</v>
      </c>
      <c r="R15" s="3">
        <v>4.0299459999999998</v>
      </c>
      <c r="S15" s="2">
        <v>13</v>
      </c>
      <c r="T15" s="3">
        <v>4.2066160000000004</v>
      </c>
      <c r="U15" s="2">
        <v>15</v>
      </c>
    </row>
    <row r="16" spans="1:21" x14ac:dyDescent="0.2">
      <c r="A16" s="1" t="s">
        <v>295</v>
      </c>
      <c r="B16" s="1" t="s">
        <v>294</v>
      </c>
      <c r="C16" s="3">
        <v>3.941767</v>
      </c>
      <c r="D16" s="3">
        <v>3.8844430000000001</v>
      </c>
      <c r="E16" s="3">
        <v>3.999091</v>
      </c>
      <c r="F16" s="2">
        <v>13</v>
      </c>
      <c r="G16" s="2">
        <v>10</v>
      </c>
      <c r="H16" s="2">
        <v>16</v>
      </c>
      <c r="I16" s="3">
        <f>(C16-1)*100/($C$4-1)</f>
        <v>91.190238461831754</v>
      </c>
      <c r="J16" s="3">
        <v>3.835051</v>
      </c>
      <c r="K16" s="2">
        <v>12</v>
      </c>
      <c r="L16" s="3">
        <v>4.0693239999999999</v>
      </c>
      <c r="M16" s="2">
        <v>13</v>
      </c>
      <c r="N16" s="3">
        <v>3.893777</v>
      </c>
      <c r="O16" s="2">
        <v>7</v>
      </c>
      <c r="P16" s="3">
        <v>3.8224320000000001</v>
      </c>
      <c r="Q16" s="2">
        <v>18</v>
      </c>
      <c r="R16" s="3">
        <v>3.908658</v>
      </c>
      <c r="S16" s="2">
        <v>18</v>
      </c>
      <c r="T16" s="3">
        <v>4.1342119999999998</v>
      </c>
      <c r="U16" s="2">
        <v>18</v>
      </c>
    </row>
    <row r="17" spans="1:21" x14ac:dyDescent="0.2">
      <c r="A17" s="1" t="s">
        <v>293</v>
      </c>
      <c r="B17" s="1" t="s">
        <v>292</v>
      </c>
      <c r="C17" s="3">
        <v>3.930707</v>
      </c>
      <c r="D17" s="3">
        <v>3.8297150000000002</v>
      </c>
      <c r="E17" s="3">
        <v>4.0316999999999998</v>
      </c>
      <c r="F17" s="2">
        <v>14</v>
      </c>
      <c r="G17" s="2">
        <v>10</v>
      </c>
      <c r="H17" s="2">
        <v>16</v>
      </c>
      <c r="I17" s="3">
        <f>(C17-1)*100/($C$4-1)</f>
        <v>90.847395525124711</v>
      </c>
      <c r="J17" s="3">
        <v>3.9520710000000001</v>
      </c>
      <c r="K17" s="2">
        <v>6</v>
      </c>
      <c r="L17" s="3">
        <v>4.1416139999999997</v>
      </c>
      <c r="M17" s="2">
        <v>9</v>
      </c>
      <c r="N17" s="3">
        <v>3.5583429999999998</v>
      </c>
      <c r="O17" s="2">
        <v>29</v>
      </c>
      <c r="P17" s="3">
        <v>3.8971930000000001</v>
      </c>
      <c r="Q17" s="2">
        <v>15</v>
      </c>
      <c r="R17" s="3">
        <v>4.1008969999999998</v>
      </c>
      <c r="S17" s="2">
        <v>9</v>
      </c>
      <c r="T17" s="3">
        <v>4.0093930000000002</v>
      </c>
      <c r="U17" s="2">
        <v>25</v>
      </c>
    </row>
    <row r="18" spans="1:21" x14ac:dyDescent="0.2">
      <c r="A18" s="1" t="s">
        <v>291</v>
      </c>
      <c r="B18" s="1" t="s">
        <v>290</v>
      </c>
      <c r="C18" s="3">
        <v>3.9207450000000001</v>
      </c>
      <c r="D18" s="3">
        <v>3.7723559999999998</v>
      </c>
      <c r="E18" s="3">
        <v>4.069134</v>
      </c>
      <c r="F18" s="2">
        <v>15</v>
      </c>
      <c r="G18" s="2">
        <v>9</v>
      </c>
      <c r="H18" s="2">
        <v>20</v>
      </c>
      <c r="I18" s="3">
        <f>(C18-1)*100/($C$4-1)</f>
        <v>90.538588894430731</v>
      </c>
      <c r="J18" s="3">
        <v>4.0053640000000001</v>
      </c>
      <c r="K18" s="2">
        <v>4</v>
      </c>
      <c r="L18" s="3">
        <v>4.007231</v>
      </c>
      <c r="M18" s="2">
        <v>16</v>
      </c>
      <c r="N18" s="3">
        <v>3.507231</v>
      </c>
      <c r="O18" s="2">
        <v>30</v>
      </c>
      <c r="P18" s="3">
        <v>3.883877</v>
      </c>
      <c r="Q18" s="2">
        <v>16</v>
      </c>
      <c r="R18" s="3">
        <v>4.0385390000000001</v>
      </c>
      <c r="S18" s="2">
        <v>11</v>
      </c>
      <c r="T18" s="3">
        <v>4.1412680000000002</v>
      </c>
      <c r="U18" s="2">
        <v>16</v>
      </c>
    </row>
    <row r="19" spans="1:21" x14ac:dyDescent="0.2">
      <c r="A19" s="1" t="s">
        <v>289</v>
      </c>
      <c r="B19" s="1" t="s">
        <v>288</v>
      </c>
      <c r="C19" s="3">
        <v>3.9009529999999999</v>
      </c>
      <c r="D19" s="3">
        <v>3.8443809999999998</v>
      </c>
      <c r="E19" s="3">
        <v>3.9575239999999998</v>
      </c>
      <c r="F19" s="2">
        <v>16</v>
      </c>
      <c r="G19" s="2">
        <v>13</v>
      </c>
      <c r="H19" s="2">
        <v>16</v>
      </c>
      <c r="I19" s="3">
        <f>(C19-1)*100/($C$4-1)</f>
        <v>89.925067429394048</v>
      </c>
      <c r="J19" s="3">
        <v>3.7135180000000001</v>
      </c>
      <c r="K19" s="2">
        <v>17</v>
      </c>
      <c r="L19" s="3">
        <v>4.0110150000000004</v>
      </c>
      <c r="M19" s="2">
        <v>15</v>
      </c>
      <c r="N19" s="3">
        <v>3.641893</v>
      </c>
      <c r="O19" s="2">
        <v>20</v>
      </c>
      <c r="P19" s="3">
        <v>3.8151540000000002</v>
      </c>
      <c r="Q19" s="2">
        <v>19</v>
      </c>
      <c r="R19" s="3">
        <v>4.0206379999999999</v>
      </c>
      <c r="S19" s="2">
        <v>15</v>
      </c>
      <c r="T19" s="3">
        <v>4.2468399999999997</v>
      </c>
      <c r="U19" s="2">
        <v>13</v>
      </c>
    </row>
    <row r="20" spans="1:21" x14ac:dyDescent="0.2">
      <c r="A20" s="1" t="s">
        <v>287</v>
      </c>
      <c r="B20" s="1" t="s">
        <v>286</v>
      </c>
      <c r="C20" s="3">
        <v>3.8157939999999999</v>
      </c>
      <c r="D20" s="3">
        <v>3.5103110000000002</v>
      </c>
      <c r="E20" s="3">
        <v>4.1212770000000001</v>
      </c>
      <c r="F20" s="2">
        <v>17</v>
      </c>
      <c r="G20" s="2">
        <v>6</v>
      </c>
      <c r="H20" s="2">
        <v>30</v>
      </c>
      <c r="I20" s="3">
        <f>(C20-1)*100/($C$4-1)</f>
        <v>87.285269812121442</v>
      </c>
      <c r="J20" s="3">
        <v>3.819922</v>
      </c>
      <c r="K20" s="2">
        <v>14</v>
      </c>
      <c r="L20" s="3">
        <v>3.7459030000000002</v>
      </c>
      <c r="M20" s="2">
        <v>24</v>
      </c>
      <c r="N20" s="3">
        <v>3.6584569999999998</v>
      </c>
      <c r="O20" s="2">
        <v>15</v>
      </c>
      <c r="P20" s="3">
        <v>4.0105579999999996</v>
      </c>
      <c r="Q20" s="2">
        <v>9</v>
      </c>
      <c r="R20" s="3">
        <v>3.7360709999999999</v>
      </c>
      <c r="S20" s="2">
        <v>25</v>
      </c>
      <c r="T20" s="3">
        <v>3.9243049999999999</v>
      </c>
      <c r="U20" s="2">
        <v>30</v>
      </c>
    </row>
    <row r="21" spans="1:21" x14ac:dyDescent="0.2">
      <c r="A21" s="1" t="s">
        <v>285</v>
      </c>
      <c r="B21" s="1" t="s">
        <v>284</v>
      </c>
      <c r="C21" s="3">
        <v>3.794886</v>
      </c>
      <c r="D21" s="3">
        <v>3.5980279999999998</v>
      </c>
      <c r="E21" s="3">
        <v>3.991743</v>
      </c>
      <c r="F21" s="2">
        <v>18</v>
      </c>
      <c r="G21" s="2">
        <v>11</v>
      </c>
      <c r="H21" s="2">
        <v>30</v>
      </c>
      <c r="I21" s="3">
        <f>(C21-1)*100/($C$4-1)</f>
        <v>86.637154068842008</v>
      </c>
      <c r="J21" s="3">
        <v>3.4742519999999999</v>
      </c>
      <c r="K21" s="2">
        <v>25</v>
      </c>
      <c r="L21" s="3">
        <v>3.7727439999999999</v>
      </c>
      <c r="M21" s="2">
        <v>22</v>
      </c>
      <c r="N21" s="3">
        <v>3.8257020000000002</v>
      </c>
      <c r="O21" s="2">
        <v>10</v>
      </c>
      <c r="P21" s="3">
        <v>3.785793</v>
      </c>
      <c r="Q21" s="2">
        <v>20</v>
      </c>
      <c r="R21" s="3">
        <v>3.9809950000000001</v>
      </c>
      <c r="S21" s="2">
        <v>16</v>
      </c>
      <c r="T21" s="3">
        <v>3.9373290000000001</v>
      </c>
      <c r="U21" s="2">
        <v>29</v>
      </c>
    </row>
    <row r="22" spans="1:21" x14ac:dyDescent="0.2">
      <c r="A22" s="1" t="s">
        <v>283</v>
      </c>
      <c r="B22" s="1" t="s">
        <v>282</v>
      </c>
      <c r="C22" s="3">
        <v>3.7933849999999998</v>
      </c>
      <c r="D22" s="3">
        <v>3.5836030000000001</v>
      </c>
      <c r="E22" s="3">
        <v>4.0031660000000002</v>
      </c>
      <c r="F22" s="2">
        <v>19</v>
      </c>
      <c r="G22" s="2">
        <v>10</v>
      </c>
      <c r="H22" s="2">
        <v>30</v>
      </c>
      <c r="I22" s="3">
        <f>(C22-1)*100/($C$4-1)</f>
        <v>86.590625384574594</v>
      </c>
      <c r="J22" s="3">
        <v>3.5439569999999998</v>
      </c>
      <c r="K22" s="2">
        <v>22</v>
      </c>
      <c r="L22" s="3">
        <v>3.816468</v>
      </c>
      <c r="M22" s="2">
        <v>18</v>
      </c>
      <c r="N22" s="3">
        <v>3.6336040000000001</v>
      </c>
      <c r="O22" s="2">
        <v>21</v>
      </c>
      <c r="P22" s="3">
        <v>3.871699</v>
      </c>
      <c r="Q22" s="2">
        <v>17</v>
      </c>
      <c r="R22" s="3">
        <v>3.871699</v>
      </c>
      <c r="S22" s="2">
        <v>19</v>
      </c>
      <c r="T22" s="3">
        <v>4.0445279999999997</v>
      </c>
      <c r="U22" s="2">
        <v>21</v>
      </c>
    </row>
    <row r="23" spans="1:21" x14ac:dyDescent="0.2">
      <c r="A23" s="1" t="s">
        <v>281</v>
      </c>
      <c r="B23" s="1" t="s">
        <v>280</v>
      </c>
      <c r="C23" s="3">
        <v>3.7753209999999999</v>
      </c>
      <c r="D23" s="3">
        <v>3.704698</v>
      </c>
      <c r="E23" s="3">
        <v>3.8459449999999999</v>
      </c>
      <c r="F23" s="2">
        <v>20</v>
      </c>
      <c r="G23" s="2">
        <v>17</v>
      </c>
      <c r="H23" s="2">
        <v>24</v>
      </c>
      <c r="I23" s="3">
        <f>(C23-1)*100/($C$4-1)</f>
        <v>86.030669253591256</v>
      </c>
      <c r="J23" s="3">
        <v>3.5954600000000001</v>
      </c>
      <c r="K23" s="2">
        <v>18</v>
      </c>
      <c r="L23" s="3">
        <v>3.7762609999999999</v>
      </c>
      <c r="M23" s="2">
        <v>21</v>
      </c>
      <c r="N23" s="3">
        <v>3.6225040000000002</v>
      </c>
      <c r="O23" s="2">
        <v>23</v>
      </c>
      <c r="P23" s="3">
        <v>3.7478220000000002</v>
      </c>
      <c r="Q23" s="2">
        <v>22</v>
      </c>
      <c r="R23" s="3">
        <v>3.9154469999999999</v>
      </c>
      <c r="S23" s="2">
        <v>17</v>
      </c>
      <c r="T23" s="3">
        <v>4.0181579999999997</v>
      </c>
      <c r="U23" s="2">
        <v>24</v>
      </c>
    </row>
    <row r="24" spans="1:21" x14ac:dyDescent="0.2">
      <c r="A24" s="1" t="s">
        <v>279</v>
      </c>
      <c r="B24" s="1" t="s">
        <v>278</v>
      </c>
      <c r="C24" s="3">
        <v>3.755414</v>
      </c>
      <c r="D24" s="3">
        <v>3.6997399999999998</v>
      </c>
      <c r="E24" s="3">
        <v>3.8110879999999998</v>
      </c>
      <c r="F24" s="2">
        <v>21</v>
      </c>
      <c r="G24" s="2">
        <v>18</v>
      </c>
      <c r="H24" s="2">
        <v>24</v>
      </c>
      <c r="I24" s="3">
        <f>(C24-1)*100/($C$4-1)</f>
        <v>85.413582965975792</v>
      </c>
      <c r="J24" s="3">
        <v>3.4530310000000002</v>
      </c>
      <c r="K24" s="2">
        <v>27</v>
      </c>
      <c r="L24" s="3">
        <v>3.7914680000000001</v>
      </c>
      <c r="M24" s="2">
        <v>19</v>
      </c>
      <c r="N24" s="3">
        <v>3.6512060000000002</v>
      </c>
      <c r="O24" s="2">
        <v>17</v>
      </c>
      <c r="P24" s="3">
        <v>3.765139</v>
      </c>
      <c r="Q24" s="2">
        <v>21</v>
      </c>
      <c r="R24" s="3">
        <v>3.8577729999999999</v>
      </c>
      <c r="S24" s="2">
        <v>20</v>
      </c>
      <c r="T24" s="3">
        <v>4.0326089999999999</v>
      </c>
      <c r="U24" s="2">
        <v>22</v>
      </c>
    </row>
    <row r="25" spans="1:21" x14ac:dyDescent="0.2">
      <c r="A25" s="1" t="s">
        <v>277</v>
      </c>
      <c r="B25" s="1" t="s">
        <v>276</v>
      </c>
      <c r="C25" s="3">
        <v>3.7321629999999999</v>
      </c>
      <c r="D25" s="3">
        <v>3.541248</v>
      </c>
      <c r="E25" s="3">
        <v>3.9230779999999998</v>
      </c>
      <c r="F25" s="2">
        <v>22</v>
      </c>
      <c r="G25" s="2">
        <v>15</v>
      </c>
      <c r="H25" s="2">
        <v>30</v>
      </c>
      <c r="I25" s="3">
        <f>(C25-1)*100/($C$4-1)</f>
        <v>84.692837837460829</v>
      </c>
      <c r="J25" s="3">
        <v>3.5672359999999999</v>
      </c>
      <c r="K25" s="2">
        <v>20</v>
      </c>
      <c r="L25" s="3">
        <v>3.9544999999999999</v>
      </c>
      <c r="M25" s="2">
        <v>17</v>
      </c>
      <c r="N25" s="3">
        <v>3.6158389999999998</v>
      </c>
      <c r="O25" s="2">
        <v>25</v>
      </c>
      <c r="P25" s="3">
        <v>3.7018749999999998</v>
      </c>
      <c r="Q25" s="2">
        <v>24</v>
      </c>
      <c r="R25" s="3">
        <v>3.8235809999999999</v>
      </c>
      <c r="S25" s="2">
        <v>22</v>
      </c>
      <c r="T25" s="3">
        <v>3.7735810000000001</v>
      </c>
      <c r="U25" s="2">
        <v>39</v>
      </c>
    </row>
    <row r="26" spans="1:21" x14ac:dyDescent="0.2">
      <c r="A26" s="1" t="s">
        <v>275</v>
      </c>
      <c r="B26" s="1" t="s">
        <v>274</v>
      </c>
      <c r="C26" s="3">
        <v>3.7274120000000002</v>
      </c>
      <c r="D26" s="3">
        <v>3.6184349999999998</v>
      </c>
      <c r="E26" s="3">
        <v>3.836389</v>
      </c>
      <c r="F26" s="2">
        <v>23</v>
      </c>
      <c r="G26" s="2">
        <v>17</v>
      </c>
      <c r="H26" s="2">
        <v>29</v>
      </c>
      <c r="I26" s="3">
        <f>(C26-1)*100/($C$4-1)</f>
        <v>84.545564167271394</v>
      </c>
      <c r="J26" s="3">
        <v>3.477058</v>
      </c>
      <c r="K26" s="2">
        <v>24</v>
      </c>
      <c r="L26" s="3">
        <v>3.716888</v>
      </c>
      <c r="M26" s="2">
        <v>25</v>
      </c>
      <c r="N26" s="3">
        <v>3.6315659999999998</v>
      </c>
      <c r="O26" s="2">
        <v>22</v>
      </c>
      <c r="P26" s="3">
        <v>3.7288779999999999</v>
      </c>
      <c r="Q26" s="2">
        <v>23</v>
      </c>
      <c r="R26" s="3">
        <v>3.8231570000000001</v>
      </c>
      <c r="S26" s="2">
        <v>23</v>
      </c>
      <c r="T26" s="3">
        <v>3.9991919999999999</v>
      </c>
      <c r="U26" s="2">
        <v>26</v>
      </c>
    </row>
    <row r="27" spans="1:21" x14ac:dyDescent="0.2">
      <c r="A27" s="1" t="s">
        <v>273</v>
      </c>
      <c r="B27" s="1" t="s">
        <v>272</v>
      </c>
      <c r="C27" s="3">
        <v>3.7171259999999999</v>
      </c>
      <c r="D27" s="3">
        <v>3.6421640000000002</v>
      </c>
      <c r="E27" s="3">
        <v>3.7920880000000001</v>
      </c>
      <c r="F27" s="2">
        <v>24</v>
      </c>
      <c r="G27" s="2">
        <v>20</v>
      </c>
      <c r="H27" s="2">
        <v>28</v>
      </c>
      <c r="I27" s="3">
        <f>(C27-1)*100/($C$4-1)</f>
        <v>84.226714036442416</v>
      </c>
      <c r="J27" s="3">
        <v>3.4530850000000002</v>
      </c>
      <c r="K27" s="2">
        <v>26</v>
      </c>
      <c r="L27" s="3">
        <v>3.7905350000000002</v>
      </c>
      <c r="M27" s="2">
        <v>20</v>
      </c>
      <c r="N27" s="3">
        <v>3.5825130000000001</v>
      </c>
      <c r="O27" s="2">
        <v>27</v>
      </c>
      <c r="P27" s="3">
        <v>3.690245</v>
      </c>
      <c r="Q27" s="2">
        <v>25</v>
      </c>
      <c r="R27" s="3">
        <v>3.783652</v>
      </c>
      <c r="S27" s="2">
        <v>24</v>
      </c>
      <c r="T27" s="3">
        <v>4.0251919999999997</v>
      </c>
      <c r="U27" s="2">
        <v>23</v>
      </c>
    </row>
    <row r="28" spans="1:21" x14ac:dyDescent="0.2">
      <c r="A28" s="1" t="s">
        <v>271</v>
      </c>
      <c r="B28" s="1" t="s">
        <v>270</v>
      </c>
      <c r="C28" s="3">
        <v>3.697594</v>
      </c>
      <c r="D28" s="3">
        <v>3.4733689999999999</v>
      </c>
      <c r="E28" s="3">
        <v>3.9218190000000002</v>
      </c>
      <c r="F28" s="2">
        <v>25</v>
      </c>
      <c r="G28" s="2">
        <v>15</v>
      </c>
      <c r="H28" s="2">
        <v>30</v>
      </c>
      <c r="I28" s="3">
        <f>(C28-1)*100/($C$4-1)</f>
        <v>83.621252170279504</v>
      </c>
      <c r="J28" s="3">
        <v>3.23244</v>
      </c>
      <c r="K28" s="2">
        <v>34</v>
      </c>
      <c r="L28" s="3">
        <v>3.5726110000000002</v>
      </c>
      <c r="M28" s="2">
        <v>26</v>
      </c>
      <c r="N28" s="3">
        <v>3.5745079999999998</v>
      </c>
      <c r="O28" s="2">
        <v>28</v>
      </c>
      <c r="P28" s="3">
        <v>3.9503879999999998</v>
      </c>
      <c r="Q28" s="2">
        <v>13</v>
      </c>
      <c r="R28" s="3">
        <v>3.5867520000000002</v>
      </c>
      <c r="S28" s="2">
        <v>31</v>
      </c>
      <c r="T28" s="3">
        <v>4.2494170000000002</v>
      </c>
      <c r="U28" s="2">
        <v>12</v>
      </c>
    </row>
    <row r="29" spans="1:21" x14ac:dyDescent="0.2">
      <c r="A29" s="1" t="s">
        <v>269</v>
      </c>
      <c r="B29" s="1" t="s">
        <v>268</v>
      </c>
      <c r="C29" s="3">
        <v>3.674309</v>
      </c>
      <c r="D29" s="3">
        <v>3.5200529999999999</v>
      </c>
      <c r="E29" s="3">
        <v>3.8285659999999999</v>
      </c>
      <c r="F29" s="2">
        <v>26</v>
      </c>
      <c r="G29" s="2">
        <v>17</v>
      </c>
      <c r="H29" s="2">
        <v>30</v>
      </c>
      <c r="I29" s="3">
        <f>(C29-1)*100/($C$4-1)</f>
        <v>82.89945309421951</v>
      </c>
      <c r="J29" s="3">
        <v>3.580444</v>
      </c>
      <c r="K29" s="2">
        <v>19</v>
      </c>
      <c r="L29" s="3">
        <v>3.357148</v>
      </c>
      <c r="M29" s="2">
        <v>35</v>
      </c>
      <c r="N29" s="3">
        <v>3.6506099999999999</v>
      </c>
      <c r="O29" s="2">
        <v>18</v>
      </c>
      <c r="P29" s="3">
        <v>3.6483989999999999</v>
      </c>
      <c r="Q29" s="2">
        <v>26</v>
      </c>
      <c r="R29" s="3">
        <v>3.84138</v>
      </c>
      <c r="S29" s="2">
        <v>21</v>
      </c>
      <c r="T29" s="3">
        <v>3.9448180000000002</v>
      </c>
      <c r="U29" s="2">
        <v>28</v>
      </c>
    </row>
    <row r="30" spans="1:21" x14ac:dyDescent="0.2">
      <c r="A30" s="1" t="s">
        <v>267</v>
      </c>
      <c r="B30" s="1" t="s">
        <v>266</v>
      </c>
      <c r="C30" s="3">
        <v>3.6611039999999999</v>
      </c>
      <c r="D30" s="3">
        <v>3.6094650000000001</v>
      </c>
      <c r="E30" s="3">
        <v>3.7127439999999998</v>
      </c>
      <c r="F30" s="2">
        <v>27</v>
      </c>
      <c r="G30" s="2">
        <v>25</v>
      </c>
      <c r="H30" s="2">
        <v>29</v>
      </c>
      <c r="I30" s="3">
        <f>(C30-1)*100/($C$4-1)</f>
        <v>82.490118466803906</v>
      </c>
      <c r="J30" s="3">
        <v>3.318883</v>
      </c>
      <c r="K30" s="2">
        <v>31</v>
      </c>
      <c r="L30" s="3">
        <v>3.7523590000000002</v>
      </c>
      <c r="M30" s="2">
        <v>23</v>
      </c>
      <c r="N30" s="3">
        <v>3.7049609999999999</v>
      </c>
      <c r="O30" s="2">
        <v>12</v>
      </c>
      <c r="P30" s="3">
        <v>3.6200709999999998</v>
      </c>
      <c r="Q30" s="2">
        <v>27</v>
      </c>
      <c r="R30" s="3">
        <v>3.6767020000000001</v>
      </c>
      <c r="S30" s="2">
        <v>28</v>
      </c>
      <c r="T30" s="3">
        <v>3.8962840000000001</v>
      </c>
      <c r="U30" s="2">
        <v>31</v>
      </c>
    </row>
    <row r="31" spans="1:21" x14ac:dyDescent="0.2">
      <c r="A31" s="1" t="s">
        <v>265</v>
      </c>
      <c r="B31" s="1" t="s">
        <v>264</v>
      </c>
      <c r="C31" s="3">
        <v>3.6603300000000001</v>
      </c>
      <c r="D31" s="3">
        <v>3.4694929999999999</v>
      </c>
      <c r="E31" s="3">
        <v>3.8511669999999998</v>
      </c>
      <c r="F31" s="2">
        <v>28</v>
      </c>
      <c r="G31" s="2">
        <v>17</v>
      </c>
      <c r="H31" s="2">
        <v>30</v>
      </c>
      <c r="I31" s="3">
        <f>(C31-1)*100/($C$4-1)</f>
        <v>82.466125660925869</v>
      </c>
      <c r="J31" s="3">
        <v>3.5</v>
      </c>
      <c r="K31" s="2">
        <v>23</v>
      </c>
      <c r="L31" s="3">
        <v>3.4944440000000001</v>
      </c>
      <c r="M31" s="2">
        <v>30</v>
      </c>
      <c r="N31" s="3">
        <v>3.3833329999999999</v>
      </c>
      <c r="O31" s="2">
        <v>37</v>
      </c>
      <c r="P31" s="3">
        <v>3.5990739999999999</v>
      </c>
      <c r="Q31" s="2">
        <v>28</v>
      </c>
      <c r="R31" s="3">
        <v>3.7240739999999999</v>
      </c>
      <c r="S31" s="2">
        <v>26</v>
      </c>
      <c r="T31" s="3">
        <v>4.2667330000000003</v>
      </c>
      <c r="U31" s="2">
        <v>10</v>
      </c>
    </row>
    <row r="32" spans="1:21" x14ac:dyDescent="0.2">
      <c r="A32" s="1" t="s">
        <v>263</v>
      </c>
      <c r="B32" s="1" t="s">
        <v>262</v>
      </c>
      <c r="C32" s="3">
        <v>3.631688</v>
      </c>
      <c r="D32" s="3">
        <v>3.4479259999999998</v>
      </c>
      <c r="E32" s="3">
        <v>3.8154499999999998</v>
      </c>
      <c r="F32" s="2">
        <v>29</v>
      </c>
      <c r="G32" s="2">
        <v>18</v>
      </c>
      <c r="H32" s="2">
        <v>30</v>
      </c>
      <c r="I32" s="3">
        <f>(C32-1)*100/($C$4-1)</f>
        <v>81.578267849609119</v>
      </c>
      <c r="J32" s="3">
        <v>3.4152279999999999</v>
      </c>
      <c r="K32" s="2">
        <v>28</v>
      </c>
      <c r="L32" s="3">
        <v>3.5714290000000002</v>
      </c>
      <c r="M32" s="2">
        <v>27</v>
      </c>
      <c r="N32" s="3">
        <v>3.4921509999999998</v>
      </c>
      <c r="O32" s="2">
        <v>31</v>
      </c>
      <c r="P32" s="3">
        <v>3.4921509999999998</v>
      </c>
      <c r="Q32" s="2">
        <v>30</v>
      </c>
      <c r="R32" s="3">
        <v>3.6815799999999999</v>
      </c>
      <c r="S32" s="2">
        <v>27</v>
      </c>
      <c r="T32" s="3">
        <v>4.1408829999999996</v>
      </c>
      <c r="U32" s="2">
        <v>17</v>
      </c>
    </row>
    <row r="33" spans="1:21" x14ac:dyDescent="0.2">
      <c r="A33" s="1" t="s">
        <v>261</v>
      </c>
      <c r="B33" s="1" t="s">
        <v>260</v>
      </c>
      <c r="C33" s="3">
        <v>3.5992320000000002</v>
      </c>
      <c r="D33" s="3">
        <v>3.3591669999999998</v>
      </c>
      <c r="E33" s="3">
        <v>3.839296</v>
      </c>
      <c r="F33" s="2">
        <v>30</v>
      </c>
      <c r="G33" s="2">
        <v>17</v>
      </c>
      <c r="H33" s="2">
        <v>38</v>
      </c>
      <c r="I33" s="3">
        <f>(C33-1)*100/($C$4-1)</f>
        <v>80.57218192250572</v>
      </c>
      <c r="J33" s="3">
        <v>3.5512269999999999</v>
      </c>
      <c r="K33" s="2">
        <v>21</v>
      </c>
      <c r="L33" s="3">
        <v>3.5680390000000002</v>
      </c>
      <c r="M33" s="2">
        <v>28</v>
      </c>
      <c r="N33" s="3">
        <v>3.582678</v>
      </c>
      <c r="O33" s="2">
        <v>26</v>
      </c>
      <c r="P33" s="3">
        <v>3.5436719999999999</v>
      </c>
      <c r="Q33" s="2">
        <v>29</v>
      </c>
      <c r="R33" s="3">
        <v>3.5034010000000002</v>
      </c>
      <c r="S33" s="2">
        <v>35</v>
      </c>
      <c r="T33" s="3">
        <v>3.8325339999999999</v>
      </c>
      <c r="U33" s="2">
        <v>35</v>
      </c>
    </row>
    <row r="34" spans="1:21" x14ac:dyDescent="0.2">
      <c r="A34" s="1" t="s">
        <v>259</v>
      </c>
      <c r="B34" s="1" t="s">
        <v>258</v>
      </c>
      <c r="C34" s="3">
        <v>3.4289679999999998</v>
      </c>
      <c r="D34" s="3">
        <v>3.3011270000000001</v>
      </c>
      <c r="E34" s="3">
        <v>3.5568089999999999</v>
      </c>
      <c r="F34" s="2">
        <v>31</v>
      </c>
      <c r="G34" s="2">
        <v>31</v>
      </c>
      <c r="H34" s="2">
        <v>44</v>
      </c>
      <c r="I34" s="3">
        <f>(C34-1)*100/($C$4-1)</f>
        <v>75.294260604649708</v>
      </c>
      <c r="J34" s="3">
        <v>3.0167579999999998</v>
      </c>
      <c r="K34" s="2">
        <v>49</v>
      </c>
      <c r="L34" s="3">
        <v>3.4839600000000002</v>
      </c>
      <c r="M34" s="2">
        <v>32</v>
      </c>
      <c r="N34" s="3">
        <v>3.4355039999999999</v>
      </c>
      <c r="O34" s="2">
        <v>34</v>
      </c>
      <c r="P34" s="3">
        <v>3.3549280000000001</v>
      </c>
      <c r="Q34" s="2">
        <v>34</v>
      </c>
      <c r="R34" s="3">
        <v>3.4021710000000001</v>
      </c>
      <c r="S34" s="2">
        <v>41</v>
      </c>
      <c r="T34" s="3">
        <v>3.875794</v>
      </c>
      <c r="U34" s="2">
        <v>33</v>
      </c>
    </row>
    <row r="35" spans="1:21" x14ac:dyDescent="0.2">
      <c r="A35" s="1" t="s">
        <v>257</v>
      </c>
      <c r="B35" s="1" t="s">
        <v>256</v>
      </c>
      <c r="C35" s="3">
        <v>3.426307</v>
      </c>
      <c r="D35" s="3">
        <v>3.3364609999999999</v>
      </c>
      <c r="E35" s="3">
        <v>3.5161530000000001</v>
      </c>
      <c r="F35" s="2">
        <v>32</v>
      </c>
      <c r="G35" s="2">
        <v>31</v>
      </c>
      <c r="H35" s="2">
        <v>41</v>
      </c>
      <c r="I35" s="3">
        <f>(C35-1)*100/($C$4-1)</f>
        <v>75.211773710022456</v>
      </c>
      <c r="J35" s="3">
        <v>3.167154</v>
      </c>
      <c r="K35" s="2">
        <v>40</v>
      </c>
      <c r="L35" s="3">
        <v>3.4476149999999999</v>
      </c>
      <c r="M35" s="2">
        <v>33</v>
      </c>
      <c r="N35" s="3">
        <v>3.4820790000000001</v>
      </c>
      <c r="O35" s="2">
        <v>32</v>
      </c>
      <c r="P35" s="3">
        <v>3.3422149999999999</v>
      </c>
      <c r="Q35" s="2">
        <v>35</v>
      </c>
      <c r="R35" s="3">
        <v>3.4612430000000001</v>
      </c>
      <c r="S35" s="2">
        <v>36</v>
      </c>
      <c r="T35" s="3">
        <v>3.6529539999999998</v>
      </c>
      <c r="U35" s="2">
        <v>47</v>
      </c>
    </row>
    <row r="36" spans="1:21" x14ac:dyDescent="0.2">
      <c r="A36" s="1" t="s">
        <v>255</v>
      </c>
      <c r="B36" s="1" t="s">
        <v>254</v>
      </c>
      <c r="C36" s="3">
        <v>3.4258769999999998</v>
      </c>
      <c r="D36" s="3">
        <v>3.2952900000000001</v>
      </c>
      <c r="E36" s="3">
        <v>3.5564650000000002</v>
      </c>
      <c r="F36" s="2">
        <v>33</v>
      </c>
      <c r="G36" s="2">
        <v>31</v>
      </c>
      <c r="H36" s="2">
        <v>44</v>
      </c>
      <c r="I36" s="3">
        <f>(C36-1)*100/($C$4-1)</f>
        <v>75.198444373423541</v>
      </c>
      <c r="J36" s="3">
        <v>3.2666919999999999</v>
      </c>
      <c r="K36" s="2">
        <v>33</v>
      </c>
      <c r="L36" s="3">
        <v>3.1692369999999999</v>
      </c>
      <c r="M36" s="2">
        <v>45</v>
      </c>
      <c r="N36" s="3">
        <v>3.4382570000000001</v>
      </c>
      <c r="O36" s="2">
        <v>33</v>
      </c>
      <c r="P36" s="3">
        <v>3.3879540000000001</v>
      </c>
      <c r="Q36" s="2">
        <v>31</v>
      </c>
      <c r="R36" s="3">
        <v>3.4560200000000001</v>
      </c>
      <c r="S36" s="2">
        <v>37</v>
      </c>
      <c r="T36" s="3">
        <v>3.8035320000000001</v>
      </c>
      <c r="U36" s="2">
        <v>37</v>
      </c>
    </row>
    <row r="37" spans="1:21" x14ac:dyDescent="0.2">
      <c r="A37" s="1" t="s">
        <v>253</v>
      </c>
      <c r="B37" s="1" t="s">
        <v>252</v>
      </c>
      <c r="C37" s="3">
        <v>3.4236930000000001</v>
      </c>
      <c r="D37" s="3">
        <v>3.2848630000000001</v>
      </c>
      <c r="E37" s="3">
        <v>3.5625239999999998</v>
      </c>
      <c r="F37" s="2">
        <v>34</v>
      </c>
      <c r="G37" s="2">
        <v>31</v>
      </c>
      <c r="H37" s="2">
        <v>44</v>
      </c>
      <c r="I37" s="3">
        <f>(C37-1)*100/($C$4-1)</f>
        <v>75.130743742883922</v>
      </c>
      <c r="J37" s="3">
        <v>3.1815549999999999</v>
      </c>
      <c r="K37" s="2">
        <v>36</v>
      </c>
      <c r="L37" s="3">
        <v>3.4936449999999999</v>
      </c>
      <c r="M37" s="2">
        <v>31</v>
      </c>
      <c r="N37" s="3">
        <v>3.4124059999999998</v>
      </c>
      <c r="O37" s="2">
        <v>35</v>
      </c>
      <c r="P37" s="3">
        <v>3.312065</v>
      </c>
      <c r="Q37" s="2">
        <v>36</v>
      </c>
      <c r="R37" s="3">
        <v>3.39445</v>
      </c>
      <c r="S37" s="2">
        <v>43</v>
      </c>
      <c r="T37" s="3">
        <v>3.7487339999999998</v>
      </c>
      <c r="U37" s="2">
        <v>40</v>
      </c>
    </row>
    <row r="38" spans="1:21" x14ac:dyDescent="0.2">
      <c r="A38" s="1" t="s">
        <v>251</v>
      </c>
      <c r="B38" s="1" t="s">
        <v>250</v>
      </c>
      <c r="C38" s="3">
        <v>3.4200430000000002</v>
      </c>
      <c r="D38" s="3">
        <v>3.3552840000000002</v>
      </c>
      <c r="E38" s="3">
        <v>3.4848020000000002</v>
      </c>
      <c r="F38" s="2">
        <v>35</v>
      </c>
      <c r="G38" s="2">
        <v>31</v>
      </c>
      <c r="H38" s="2">
        <v>38</v>
      </c>
      <c r="I38" s="3">
        <f>(C38-1)*100/($C$4-1)</f>
        <v>75.017599374079168</v>
      </c>
      <c r="J38" s="3">
        <v>3.17442</v>
      </c>
      <c r="K38" s="2">
        <v>38</v>
      </c>
      <c r="L38" s="3">
        <v>3.3371780000000002</v>
      </c>
      <c r="M38" s="2">
        <v>36</v>
      </c>
      <c r="N38" s="3">
        <v>3.364115</v>
      </c>
      <c r="O38" s="2">
        <v>39</v>
      </c>
      <c r="P38" s="3">
        <v>3.3870640000000001</v>
      </c>
      <c r="Q38" s="2">
        <v>32</v>
      </c>
      <c r="R38" s="3">
        <v>3.5189810000000001</v>
      </c>
      <c r="S38" s="2">
        <v>33</v>
      </c>
      <c r="T38" s="3">
        <v>3.7380499999999999</v>
      </c>
      <c r="U38" s="2">
        <v>42</v>
      </c>
    </row>
    <row r="39" spans="1:21" x14ac:dyDescent="0.2">
      <c r="A39" s="1" t="s">
        <v>249</v>
      </c>
      <c r="B39" s="1" t="s">
        <v>248</v>
      </c>
      <c r="C39" s="3">
        <v>3.409367</v>
      </c>
      <c r="D39" s="3">
        <v>3.2699769999999999</v>
      </c>
      <c r="E39" s="3">
        <v>3.5487579999999999</v>
      </c>
      <c r="F39" s="2">
        <v>36</v>
      </c>
      <c r="G39" s="2">
        <v>31</v>
      </c>
      <c r="H39" s="2">
        <v>44</v>
      </c>
      <c r="I39" s="3">
        <f>(C39-1)*100/($C$4-1)</f>
        <v>74.686659844939527</v>
      </c>
      <c r="J39" s="3">
        <v>3.3732199999999999</v>
      </c>
      <c r="K39" s="2">
        <v>30</v>
      </c>
      <c r="L39" s="3">
        <v>3.0881479999999999</v>
      </c>
      <c r="M39" s="2">
        <v>49</v>
      </c>
      <c r="N39" s="3">
        <v>3.2412830000000001</v>
      </c>
      <c r="O39" s="2">
        <v>47</v>
      </c>
      <c r="P39" s="3">
        <v>3.1538430000000002</v>
      </c>
      <c r="Q39" s="2">
        <v>47</v>
      </c>
      <c r="R39" s="3">
        <v>3.646236</v>
      </c>
      <c r="S39" s="2">
        <v>29</v>
      </c>
      <c r="T39" s="3">
        <v>3.946196</v>
      </c>
      <c r="U39" s="2">
        <v>27</v>
      </c>
    </row>
    <row r="40" spans="1:21" x14ac:dyDescent="0.2">
      <c r="A40" s="1" t="s">
        <v>247</v>
      </c>
      <c r="B40" s="1" t="s">
        <v>246</v>
      </c>
      <c r="C40" s="3">
        <v>3.3879999999999999</v>
      </c>
      <c r="D40" s="3">
        <v>3.0676230000000002</v>
      </c>
      <c r="E40" s="3">
        <v>3.7083759999999999</v>
      </c>
      <c r="F40" s="2">
        <v>37</v>
      </c>
      <c r="G40" s="2">
        <v>25</v>
      </c>
      <c r="H40" s="2">
        <v>56</v>
      </c>
      <c r="I40" s="3">
        <f>(C40-1)*100/($C$4-1)</f>
        <v>74.024315809802147</v>
      </c>
      <c r="J40" s="3">
        <v>3.1800739999999998</v>
      </c>
      <c r="K40" s="2">
        <v>37</v>
      </c>
      <c r="L40" s="3">
        <v>3.5491229999999998</v>
      </c>
      <c r="M40" s="2">
        <v>29</v>
      </c>
      <c r="N40" s="3">
        <v>2.7707600000000001</v>
      </c>
      <c r="O40" s="2">
        <v>80</v>
      </c>
      <c r="P40" s="3">
        <v>3.2176330000000002</v>
      </c>
      <c r="Q40" s="2">
        <v>41</v>
      </c>
      <c r="R40" s="3">
        <v>3.5812689999999998</v>
      </c>
      <c r="S40" s="2">
        <v>32</v>
      </c>
      <c r="T40" s="3">
        <v>4.1152620000000004</v>
      </c>
      <c r="U40" s="2">
        <v>19</v>
      </c>
    </row>
    <row r="41" spans="1:21" x14ac:dyDescent="0.2">
      <c r="A41" s="1" t="s">
        <v>245</v>
      </c>
      <c r="B41" s="1" t="s">
        <v>244</v>
      </c>
      <c r="C41" s="3">
        <v>3.363489</v>
      </c>
      <c r="D41" s="3">
        <v>3.1318769999999998</v>
      </c>
      <c r="E41" s="3">
        <v>3.5951</v>
      </c>
      <c r="F41" s="2">
        <v>38</v>
      </c>
      <c r="G41" s="2">
        <v>31</v>
      </c>
      <c r="H41" s="2">
        <v>53</v>
      </c>
      <c r="I41" s="3">
        <f>(C41-1)*100/($C$4-1)</f>
        <v>73.264512625206649</v>
      </c>
      <c r="J41" s="3">
        <v>3.4118249999999999</v>
      </c>
      <c r="K41" s="2">
        <v>29</v>
      </c>
      <c r="L41" s="3">
        <v>3.1763499999999998</v>
      </c>
      <c r="M41" s="2">
        <v>44</v>
      </c>
      <c r="N41" s="3">
        <v>3.07308</v>
      </c>
      <c r="O41" s="2">
        <v>56</v>
      </c>
      <c r="P41" s="3">
        <v>3.1763499999999998</v>
      </c>
      <c r="Q41" s="2">
        <v>46</v>
      </c>
      <c r="R41" s="3">
        <v>3.254</v>
      </c>
      <c r="S41" s="2">
        <v>48</v>
      </c>
      <c r="T41" s="3">
        <v>4.0775300000000003</v>
      </c>
      <c r="U41" s="2">
        <v>20</v>
      </c>
    </row>
    <row r="42" spans="1:21" x14ac:dyDescent="0.2">
      <c r="A42" s="1" t="s">
        <v>243</v>
      </c>
      <c r="B42" s="1" t="s">
        <v>242</v>
      </c>
      <c r="C42" s="3">
        <v>3.3456049999999999</v>
      </c>
      <c r="D42" s="3">
        <v>3.0725479999999998</v>
      </c>
      <c r="E42" s="3">
        <v>3.6186630000000002</v>
      </c>
      <c r="F42" s="2">
        <v>39</v>
      </c>
      <c r="G42" s="2">
        <v>30</v>
      </c>
      <c r="H42" s="2">
        <v>55</v>
      </c>
      <c r="I42" s="3">
        <f>(C42-1)*100/($C$4-1)</f>
        <v>72.71013621652051</v>
      </c>
      <c r="J42" s="3">
        <v>3.1285259999999999</v>
      </c>
      <c r="K42" s="2">
        <v>43</v>
      </c>
      <c r="L42" s="3">
        <v>3.0230769999999998</v>
      </c>
      <c r="M42" s="2">
        <v>51</v>
      </c>
      <c r="N42" s="3">
        <v>3.3246790000000002</v>
      </c>
      <c r="O42" s="2">
        <v>42</v>
      </c>
      <c r="P42" s="3">
        <v>3.259776</v>
      </c>
      <c r="Q42" s="2">
        <v>39</v>
      </c>
      <c r="R42" s="3">
        <v>3.416026</v>
      </c>
      <c r="S42" s="2">
        <v>40</v>
      </c>
      <c r="T42" s="3">
        <v>3.884776</v>
      </c>
      <c r="U42" s="2">
        <v>32</v>
      </c>
    </row>
    <row r="43" spans="1:21" x14ac:dyDescent="0.2">
      <c r="A43" s="1" t="s">
        <v>241</v>
      </c>
      <c r="B43" s="1" t="s">
        <v>240</v>
      </c>
      <c r="C43" s="3">
        <v>3.3378429999999999</v>
      </c>
      <c r="D43" s="3">
        <v>3.0652620000000002</v>
      </c>
      <c r="E43" s="3">
        <v>3.6104240000000001</v>
      </c>
      <c r="F43" s="2">
        <v>40</v>
      </c>
      <c r="G43" s="2">
        <v>30</v>
      </c>
      <c r="H43" s="2">
        <v>56</v>
      </c>
      <c r="I43" s="3">
        <f>(C43-1)*100/($C$4-1)</f>
        <v>72.469526191681439</v>
      </c>
      <c r="J43" s="3">
        <v>3.1333329999999999</v>
      </c>
      <c r="K43" s="2">
        <v>42</v>
      </c>
      <c r="L43" s="3">
        <v>3.281587</v>
      </c>
      <c r="M43" s="2">
        <v>38</v>
      </c>
      <c r="N43" s="3">
        <v>3.6521669999999999</v>
      </c>
      <c r="O43" s="2">
        <v>16</v>
      </c>
      <c r="P43" s="3">
        <v>3.18363</v>
      </c>
      <c r="Q43" s="2">
        <v>45</v>
      </c>
      <c r="R43" s="3">
        <v>2.952861</v>
      </c>
      <c r="S43" s="2">
        <v>63</v>
      </c>
      <c r="T43" s="3">
        <v>3.7446869999999999</v>
      </c>
      <c r="U43" s="2">
        <v>41</v>
      </c>
    </row>
    <row r="44" spans="1:21" x14ac:dyDescent="0.2">
      <c r="A44" s="1" t="s">
        <v>239</v>
      </c>
      <c r="B44" s="1" t="s">
        <v>238</v>
      </c>
      <c r="C44" s="3">
        <v>3.3368950000000002</v>
      </c>
      <c r="D44" s="3">
        <v>3.118436</v>
      </c>
      <c r="E44" s="3">
        <v>3.5553530000000002</v>
      </c>
      <c r="F44" s="2">
        <v>41</v>
      </c>
      <c r="G44" s="2">
        <v>31</v>
      </c>
      <c r="H44" s="2">
        <v>53</v>
      </c>
      <c r="I44" s="3">
        <f>(C44-1)*100/($C$4-1)</f>
        <v>72.440139654249421</v>
      </c>
      <c r="J44" s="3">
        <v>3.2777780000000001</v>
      </c>
      <c r="K44" s="2">
        <v>32</v>
      </c>
      <c r="L44" s="3">
        <v>3.2433519999999998</v>
      </c>
      <c r="M44" s="2">
        <v>39</v>
      </c>
      <c r="N44" s="3">
        <v>3.4050250000000002</v>
      </c>
      <c r="O44" s="2">
        <v>36</v>
      </c>
      <c r="P44" s="3">
        <v>3.1216370000000002</v>
      </c>
      <c r="Q44" s="2">
        <v>51</v>
      </c>
      <c r="R44" s="3">
        <v>3.1216370000000002</v>
      </c>
      <c r="S44" s="2">
        <v>55</v>
      </c>
      <c r="T44" s="3">
        <v>3.8080310000000002</v>
      </c>
      <c r="U44" s="2">
        <v>36</v>
      </c>
    </row>
    <row r="45" spans="1:21" x14ac:dyDescent="0.2">
      <c r="A45" s="1" t="s">
        <v>237</v>
      </c>
      <c r="B45" s="1" t="s">
        <v>236</v>
      </c>
      <c r="C45" s="3">
        <v>3.3312949999999999</v>
      </c>
      <c r="D45" s="3">
        <v>3.2131660000000002</v>
      </c>
      <c r="E45" s="3">
        <v>3.449424</v>
      </c>
      <c r="F45" s="2">
        <v>42</v>
      </c>
      <c r="G45" s="2">
        <v>31</v>
      </c>
      <c r="H45" s="2">
        <v>48</v>
      </c>
      <c r="I45" s="3">
        <f>(C45-1)*100/($C$4-1)</f>
        <v>72.266548293891404</v>
      </c>
      <c r="J45" s="3">
        <v>3.1686230000000002</v>
      </c>
      <c r="K45" s="2">
        <v>39</v>
      </c>
      <c r="L45" s="3">
        <v>3.2097090000000001</v>
      </c>
      <c r="M45" s="2">
        <v>42</v>
      </c>
      <c r="N45" s="3">
        <v>3.2432590000000001</v>
      </c>
      <c r="O45" s="2">
        <v>46</v>
      </c>
      <c r="P45" s="3">
        <v>3.2443390000000001</v>
      </c>
      <c r="Q45" s="2">
        <v>40</v>
      </c>
      <c r="R45" s="3">
        <v>3.4229379999999998</v>
      </c>
      <c r="S45" s="2">
        <v>38</v>
      </c>
      <c r="T45" s="3">
        <v>3.696094</v>
      </c>
      <c r="U45" s="2">
        <v>46</v>
      </c>
    </row>
    <row r="46" spans="1:21" x14ac:dyDescent="0.2">
      <c r="A46" s="1" t="s">
        <v>235</v>
      </c>
      <c r="B46" s="1" t="s">
        <v>234</v>
      </c>
      <c r="C46" s="3">
        <v>3.3271069999999998</v>
      </c>
      <c r="D46" s="3">
        <v>3.1198950000000001</v>
      </c>
      <c r="E46" s="3">
        <v>3.5343179999999998</v>
      </c>
      <c r="F46" s="2">
        <v>43</v>
      </c>
      <c r="G46" s="2">
        <v>31</v>
      </c>
      <c r="H46" s="2">
        <v>53</v>
      </c>
      <c r="I46" s="3">
        <f>(C46-1)*100/($C$4-1)</f>
        <v>72.136726755109393</v>
      </c>
      <c r="J46" s="3">
        <v>3.1107689999999999</v>
      </c>
      <c r="K46" s="2">
        <v>45</v>
      </c>
      <c r="L46" s="3">
        <v>3.235385</v>
      </c>
      <c r="M46" s="2">
        <v>41</v>
      </c>
      <c r="N46" s="3">
        <v>3.2778209999999999</v>
      </c>
      <c r="O46" s="2">
        <v>44</v>
      </c>
      <c r="P46" s="3">
        <v>3.2921800000000001</v>
      </c>
      <c r="Q46" s="2">
        <v>37</v>
      </c>
      <c r="R46" s="3">
        <v>3.422615</v>
      </c>
      <c r="S46" s="2">
        <v>39</v>
      </c>
      <c r="T46" s="3">
        <v>3.6218590000000002</v>
      </c>
      <c r="U46" s="2">
        <v>49</v>
      </c>
    </row>
    <row r="47" spans="1:21" x14ac:dyDescent="0.2">
      <c r="A47" s="1" t="s">
        <v>233</v>
      </c>
      <c r="B47" s="1" t="s">
        <v>232</v>
      </c>
      <c r="C47" s="3">
        <v>3.3140209999999999</v>
      </c>
      <c r="D47" s="3">
        <v>3.1142759999999998</v>
      </c>
      <c r="E47" s="3">
        <v>3.5137649999999998</v>
      </c>
      <c r="F47" s="2">
        <v>44</v>
      </c>
      <c r="G47" s="2">
        <v>31</v>
      </c>
      <c r="H47" s="2">
        <v>53</v>
      </c>
      <c r="I47" s="3">
        <f>(C47-1)*100/($C$4-1)</f>
        <v>71.731080944101407</v>
      </c>
      <c r="J47" s="3">
        <v>3.1410819999999999</v>
      </c>
      <c r="K47" s="2">
        <v>41</v>
      </c>
      <c r="L47" s="3">
        <v>3.095094</v>
      </c>
      <c r="M47" s="2">
        <v>48</v>
      </c>
      <c r="N47" s="3">
        <v>3.3274849999999998</v>
      </c>
      <c r="O47" s="2">
        <v>41</v>
      </c>
      <c r="P47" s="3">
        <v>3.383041</v>
      </c>
      <c r="Q47" s="2">
        <v>33</v>
      </c>
      <c r="R47" s="3">
        <v>3.324776</v>
      </c>
      <c r="S47" s="2">
        <v>44</v>
      </c>
      <c r="T47" s="3">
        <v>3.5834489999999999</v>
      </c>
      <c r="U47" s="2">
        <v>51</v>
      </c>
    </row>
    <row r="48" spans="1:21" x14ac:dyDescent="0.2">
      <c r="A48" s="1" t="s">
        <v>231</v>
      </c>
      <c r="B48" s="1" t="s">
        <v>230</v>
      </c>
      <c r="C48" s="3">
        <v>3.2551000000000001</v>
      </c>
      <c r="D48" s="3">
        <v>3.1808299999999998</v>
      </c>
      <c r="E48" s="3">
        <v>3.3293710000000001</v>
      </c>
      <c r="F48" s="2">
        <v>45</v>
      </c>
      <c r="G48" s="2">
        <v>43</v>
      </c>
      <c r="H48" s="2">
        <v>50</v>
      </c>
      <c r="I48" s="3">
        <f>(C48-1)*100/($C$4-1)</f>
        <v>69.904620847020453</v>
      </c>
      <c r="J48" s="3">
        <v>3.1050659999999999</v>
      </c>
      <c r="K48" s="2">
        <v>46</v>
      </c>
      <c r="L48" s="3">
        <v>3.1236700000000002</v>
      </c>
      <c r="M48" s="2">
        <v>46</v>
      </c>
      <c r="N48" s="3">
        <v>3.36694</v>
      </c>
      <c r="O48" s="2">
        <v>38</v>
      </c>
      <c r="P48" s="3">
        <v>3.135446</v>
      </c>
      <c r="Q48" s="2">
        <v>49</v>
      </c>
      <c r="R48" s="3">
        <v>3.2036199999999999</v>
      </c>
      <c r="S48" s="2">
        <v>50</v>
      </c>
      <c r="T48" s="3">
        <v>3.5599289999999999</v>
      </c>
      <c r="U48" s="2">
        <v>52</v>
      </c>
    </row>
    <row r="49" spans="1:21" x14ac:dyDescent="0.2">
      <c r="A49" s="1" t="s">
        <v>229</v>
      </c>
      <c r="B49" s="1" t="s">
        <v>228</v>
      </c>
      <c r="C49" s="3">
        <v>3.2484419999999998</v>
      </c>
      <c r="D49" s="3">
        <v>3.0015860000000001</v>
      </c>
      <c r="E49" s="3">
        <v>3.4952969999999999</v>
      </c>
      <c r="F49" s="2">
        <v>46</v>
      </c>
      <c r="G49" s="2">
        <v>31</v>
      </c>
      <c r="H49" s="2">
        <v>58</v>
      </c>
      <c r="I49" s="3">
        <f>(C49-1)*100/($C$4-1)</f>
        <v>69.698233118937665</v>
      </c>
      <c r="J49" s="3">
        <v>3.1904759999999999</v>
      </c>
      <c r="K49" s="2">
        <v>35</v>
      </c>
      <c r="L49" s="3">
        <v>2.7713190000000001</v>
      </c>
      <c r="M49" s="2">
        <v>63</v>
      </c>
      <c r="N49" s="3">
        <v>3.2956919999999998</v>
      </c>
      <c r="O49" s="2">
        <v>43</v>
      </c>
      <c r="P49" s="3">
        <v>2.9729459999999999</v>
      </c>
      <c r="Q49" s="2">
        <v>56</v>
      </c>
      <c r="R49" s="3">
        <v>3.5045310000000001</v>
      </c>
      <c r="S49" s="2">
        <v>34</v>
      </c>
      <c r="T49" s="3">
        <v>3.7114950000000002</v>
      </c>
      <c r="U49" s="2">
        <v>44</v>
      </c>
    </row>
    <row r="50" spans="1:21" x14ac:dyDescent="0.2">
      <c r="A50" s="1" t="s">
        <v>227</v>
      </c>
      <c r="B50" s="1" t="s">
        <v>226</v>
      </c>
      <c r="C50" s="3">
        <v>3.2395160000000001</v>
      </c>
      <c r="D50" s="3">
        <v>3.101197</v>
      </c>
      <c r="E50" s="3">
        <v>3.377834</v>
      </c>
      <c r="F50" s="2">
        <v>47</v>
      </c>
      <c r="G50" s="2">
        <v>38</v>
      </c>
      <c r="H50" s="2">
        <v>54</v>
      </c>
      <c r="I50" s="3">
        <f>(C50-1)*100/($C$4-1)</f>
        <v>69.42154088990992</v>
      </c>
      <c r="J50" s="3">
        <v>2.8548249999999999</v>
      </c>
      <c r="K50" s="2">
        <v>55</v>
      </c>
      <c r="L50" s="3">
        <v>3.3163840000000002</v>
      </c>
      <c r="M50" s="2">
        <v>37</v>
      </c>
      <c r="N50" s="3">
        <v>2.9708600000000001</v>
      </c>
      <c r="O50" s="2">
        <v>64</v>
      </c>
      <c r="P50" s="3">
        <v>2.9105470000000002</v>
      </c>
      <c r="Q50" s="2">
        <v>60</v>
      </c>
      <c r="R50" s="3">
        <v>3.5925069999999999</v>
      </c>
      <c r="S50" s="2">
        <v>30</v>
      </c>
      <c r="T50" s="3">
        <v>3.8475290000000002</v>
      </c>
      <c r="U50" s="2">
        <v>34</v>
      </c>
    </row>
    <row r="51" spans="1:21" x14ac:dyDescent="0.2">
      <c r="A51" s="1" t="s">
        <v>225</v>
      </c>
      <c r="B51" s="1" t="s">
        <v>224</v>
      </c>
      <c r="C51" s="3">
        <v>3.234308</v>
      </c>
      <c r="D51" s="3">
        <v>3.0030950000000001</v>
      </c>
      <c r="E51" s="3">
        <v>3.4655209999999999</v>
      </c>
      <c r="F51" s="2">
        <v>48</v>
      </c>
      <c r="G51" s="2">
        <v>31</v>
      </c>
      <c r="H51" s="2">
        <v>58</v>
      </c>
      <c r="I51" s="3">
        <f>(C51-1)*100/($C$4-1)</f>
        <v>69.260100924776978</v>
      </c>
      <c r="J51" s="3">
        <v>2.7647059999999999</v>
      </c>
      <c r="K51" s="2">
        <v>61</v>
      </c>
      <c r="L51" s="3">
        <v>3.4364810000000001</v>
      </c>
      <c r="M51" s="2">
        <v>34</v>
      </c>
      <c r="N51" s="3">
        <v>3.3461159999999999</v>
      </c>
      <c r="O51" s="2">
        <v>40</v>
      </c>
      <c r="P51" s="3">
        <v>3.2610939999999999</v>
      </c>
      <c r="Q51" s="2">
        <v>38</v>
      </c>
      <c r="R51" s="3">
        <v>3.094427</v>
      </c>
      <c r="S51" s="2">
        <v>57</v>
      </c>
      <c r="T51" s="3">
        <v>3.4972270000000001</v>
      </c>
      <c r="U51" s="2">
        <v>57</v>
      </c>
    </row>
    <row r="52" spans="1:21" x14ac:dyDescent="0.2">
      <c r="A52" s="1" t="s">
        <v>223</v>
      </c>
      <c r="B52" s="1" t="s">
        <v>222</v>
      </c>
      <c r="C52" s="3">
        <v>3.1849639999999999</v>
      </c>
      <c r="D52" s="3">
        <v>3.0491489999999999</v>
      </c>
      <c r="E52" s="3">
        <v>3.3207800000000001</v>
      </c>
      <c r="F52" s="2">
        <v>49</v>
      </c>
      <c r="G52" s="2">
        <v>44</v>
      </c>
      <c r="H52" s="2">
        <v>56</v>
      </c>
      <c r="I52" s="3">
        <f>(C52-1)*100/($C$4-1)</f>
        <v>67.730513052365382</v>
      </c>
      <c r="J52" s="3">
        <v>2.7496200000000002</v>
      </c>
      <c r="K52" s="2">
        <v>65</v>
      </c>
      <c r="L52" s="3">
        <v>3.0724100000000001</v>
      </c>
      <c r="M52" s="2">
        <v>50</v>
      </c>
      <c r="N52" s="3">
        <v>3.2732610000000002</v>
      </c>
      <c r="O52" s="2">
        <v>45</v>
      </c>
      <c r="P52" s="3">
        <v>3.2039849999999999</v>
      </c>
      <c r="Q52" s="2">
        <v>43</v>
      </c>
      <c r="R52" s="3">
        <v>3.1503519999999998</v>
      </c>
      <c r="S52" s="2">
        <v>54</v>
      </c>
      <c r="T52" s="3">
        <v>3.6279319999999999</v>
      </c>
      <c r="U52" s="2">
        <v>48</v>
      </c>
    </row>
    <row r="53" spans="1:21" x14ac:dyDescent="0.2">
      <c r="A53" s="1" t="s">
        <v>221</v>
      </c>
      <c r="B53" s="1" t="s">
        <v>220</v>
      </c>
      <c r="C53" s="3">
        <v>3.1845080000000001</v>
      </c>
      <c r="D53" s="3">
        <v>2.9470170000000002</v>
      </c>
      <c r="E53" s="3">
        <v>3.4219979999999999</v>
      </c>
      <c r="F53" s="2">
        <v>50</v>
      </c>
      <c r="G53" s="2">
        <v>35</v>
      </c>
      <c r="H53" s="2">
        <v>67</v>
      </c>
      <c r="I53" s="3">
        <f>(C53-1)*100/($C$4-1)</f>
        <v>67.716377755879094</v>
      </c>
      <c r="J53" s="3">
        <v>2.8823530000000002</v>
      </c>
      <c r="K53" s="2">
        <v>53</v>
      </c>
      <c r="L53" s="3">
        <v>3.1899090000000001</v>
      </c>
      <c r="M53" s="2">
        <v>43</v>
      </c>
      <c r="N53" s="3">
        <v>3.1045379999999998</v>
      </c>
      <c r="O53" s="2">
        <v>53</v>
      </c>
      <c r="P53" s="3">
        <v>3.1984620000000001</v>
      </c>
      <c r="Q53" s="2">
        <v>44</v>
      </c>
      <c r="R53" s="3">
        <v>3.2698909999999999</v>
      </c>
      <c r="S53" s="2">
        <v>46</v>
      </c>
      <c r="T53" s="3">
        <v>3.473093</v>
      </c>
      <c r="U53" s="2">
        <v>60</v>
      </c>
    </row>
    <row r="54" spans="1:21" x14ac:dyDescent="0.2">
      <c r="A54" s="1" t="s">
        <v>219</v>
      </c>
      <c r="B54" s="1" t="s">
        <v>218</v>
      </c>
      <c r="C54" s="3">
        <v>3.1608290000000001</v>
      </c>
      <c r="D54" s="3">
        <v>2.9305289999999999</v>
      </c>
      <c r="E54" s="3">
        <v>3.3911289999999998</v>
      </c>
      <c r="F54" s="2">
        <v>51</v>
      </c>
      <c r="G54" s="2">
        <v>37</v>
      </c>
      <c r="H54" s="2">
        <v>67</v>
      </c>
      <c r="I54" s="3">
        <f>(C54-1)*100/($C$4-1)</f>
        <v>66.982365287679642</v>
      </c>
      <c r="J54" s="3">
        <v>3.0742419999999999</v>
      </c>
      <c r="K54" s="2">
        <v>47</v>
      </c>
      <c r="L54" s="3">
        <v>2.989697</v>
      </c>
      <c r="M54" s="2">
        <v>53</v>
      </c>
      <c r="N54" s="3">
        <v>3.1153659999999999</v>
      </c>
      <c r="O54" s="2">
        <v>51</v>
      </c>
      <c r="P54" s="3">
        <v>3.2145060000000001</v>
      </c>
      <c r="Q54" s="2">
        <v>42</v>
      </c>
      <c r="R54" s="3">
        <v>3.1645059999999998</v>
      </c>
      <c r="S54" s="2">
        <v>52</v>
      </c>
      <c r="T54" s="3">
        <v>3.3890189999999998</v>
      </c>
      <c r="U54" s="2">
        <v>67</v>
      </c>
    </row>
    <row r="55" spans="1:21" x14ac:dyDescent="0.2">
      <c r="A55" s="1" t="s">
        <v>217</v>
      </c>
      <c r="B55" s="1" t="s">
        <v>216</v>
      </c>
      <c r="C55" s="3">
        <v>3.1563759999999998</v>
      </c>
      <c r="D55" s="3">
        <v>3.0278200000000002</v>
      </c>
      <c r="E55" s="3">
        <v>3.2849309999999998</v>
      </c>
      <c r="F55" s="2">
        <v>52</v>
      </c>
      <c r="G55" s="2">
        <v>45</v>
      </c>
      <c r="H55" s="2">
        <v>58</v>
      </c>
      <c r="I55" s="3">
        <f>(C55-1)*100/($C$4-1)</f>
        <v>66.844329157737818</v>
      </c>
      <c r="J55" s="3">
        <v>2.6913710000000002</v>
      </c>
      <c r="K55" s="2">
        <v>68</v>
      </c>
      <c r="L55" s="3">
        <v>3.2354129999999999</v>
      </c>
      <c r="M55" s="2">
        <v>40</v>
      </c>
      <c r="N55" s="3">
        <v>3.2283719999999998</v>
      </c>
      <c r="O55" s="2">
        <v>48</v>
      </c>
      <c r="P55" s="3">
        <v>3.0024769999999998</v>
      </c>
      <c r="Q55" s="2">
        <v>54</v>
      </c>
      <c r="R55" s="3">
        <v>3.250143</v>
      </c>
      <c r="S55" s="2">
        <v>49</v>
      </c>
      <c r="T55" s="3">
        <v>3.5328339999999998</v>
      </c>
      <c r="U55" s="2">
        <v>53</v>
      </c>
    </row>
    <row r="56" spans="1:21" x14ac:dyDescent="0.2">
      <c r="A56" s="1" t="s">
        <v>215</v>
      </c>
      <c r="B56" s="1" t="s">
        <v>214</v>
      </c>
      <c r="C56" s="3">
        <v>3.1516190000000002</v>
      </c>
      <c r="D56" s="3">
        <v>2.9579960000000001</v>
      </c>
      <c r="E56" s="3">
        <v>3.3452410000000001</v>
      </c>
      <c r="F56" s="2">
        <v>53</v>
      </c>
      <c r="G56" s="2">
        <v>40</v>
      </c>
      <c r="H56" s="2">
        <v>66</v>
      </c>
      <c r="I56" s="3">
        <f>(C56-1)*100/($C$4-1)</f>
        <v>66.696869496805149</v>
      </c>
      <c r="J56" s="3">
        <v>2.8333330000000001</v>
      </c>
      <c r="K56" s="2">
        <v>56</v>
      </c>
      <c r="L56" s="3">
        <v>2.9229799999999999</v>
      </c>
      <c r="M56" s="2">
        <v>56</v>
      </c>
      <c r="N56" s="3">
        <v>3.618687</v>
      </c>
      <c r="O56" s="2">
        <v>24</v>
      </c>
      <c r="P56" s="3">
        <v>2.7860900000000002</v>
      </c>
      <c r="Q56" s="2">
        <v>70</v>
      </c>
      <c r="R56" s="3">
        <v>3.1610900000000002</v>
      </c>
      <c r="S56" s="2">
        <v>53</v>
      </c>
      <c r="T56" s="3">
        <v>3.5075759999999998</v>
      </c>
      <c r="U56" s="2">
        <v>55</v>
      </c>
    </row>
    <row r="57" spans="1:21" x14ac:dyDescent="0.2">
      <c r="A57" s="1" t="s">
        <v>213</v>
      </c>
      <c r="B57" s="1" t="s">
        <v>212</v>
      </c>
      <c r="C57" s="3">
        <v>3.1140310000000002</v>
      </c>
      <c r="D57" s="3">
        <v>2.9571139999999998</v>
      </c>
      <c r="E57" s="3">
        <v>3.2709480000000002</v>
      </c>
      <c r="F57" s="2">
        <v>54</v>
      </c>
      <c r="G57" s="2">
        <v>45</v>
      </c>
      <c r="H57" s="2">
        <v>66</v>
      </c>
      <c r="I57" s="3">
        <f>(C57-1)*100/($C$4-1)</f>
        <v>65.53169948731653</v>
      </c>
      <c r="J57" s="3">
        <v>2.877615</v>
      </c>
      <c r="K57" s="2">
        <v>54</v>
      </c>
      <c r="L57" s="3">
        <v>2.8909229999999999</v>
      </c>
      <c r="M57" s="2">
        <v>57</v>
      </c>
      <c r="N57" s="3">
        <v>3.0041289999999998</v>
      </c>
      <c r="O57" s="2">
        <v>61</v>
      </c>
      <c r="P57" s="3">
        <v>3.1388750000000001</v>
      </c>
      <c r="Q57" s="2">
        <v>48</v>
      </c>
      <c r="R57" s="3">
        <v>3.4017119999999998</v>
      </c>
      <c r="S57" s="2">
        <v>42</v>
      </c>
      <c r="T57" s="3">
        <v>3.3775949999999999</v>
      </c>
      <c r="U57" s="2">
        <v>68</v>
      </c>
    </row>
    <row r="58" spans="1:21" x14ac:dyDescent="0.2">
      <c r="A58" s="1" t="s">
        <v>211</v>
      </c>
      <c r="B58" s="1" t="s">
        <v>210</v>
      </c>
      <c r="C58" s="3">
        <v>3.0879840000000001</v>
      </c>
      <c r="D58" s="3">
        <v>2.9856630000000002</v>
      </c>
      <c r="E58" s="3">
        <v>3.1903049999999999</v>
      </c>
      <c r="F58" s="2">
        <v>55</v>
      </c>
      <c r="G58" s="2">
        <v>49</v>
      </c>
      <c r="H58" s="2">
        <v>62</v>
      </c>
      <c r="I58" s="3">
        <f>(C58-1)*100/($C$4-1)</f>
        <v>64.724282672451395</v>
      </c>
      <c r="J58" s="3">
        <v>2.7571840000000001</v>
      </c>
      <c r="K58" s="2">
        <v>62</v>
      </c>
      <c r="L58" s="3">
        <v>3.110258</v>
      </c>
      <c r="M58" s="2">
        <v>47</v>
      </c>
      <c r="N58" s="3">
        <v>2.8989319999999998</v>
      </c>
      <c r="O58" s="2">
        <v>72</v>
      </c>
      <c r="P58" s="3">
        <v>3.122646</v>
      </c>
      <c r="Q58" s="2">
        <v>50</v>
      </c>
      <c r="R58" s="3">
        <v>3.2801969999999998</v>
      </c>
      <c r="S58" s="2">
        <v>45</v>
      </c>
      <c r="T58" s="3">
        <v>3.391947</v>
      </c>
      <c r="U58" s="2">
        <v>66</v>
      </c>
    </row>
    <row r="59" spans="1:21" x14ac:dyDescent="0.2">
      <c r="A59" s="1" t="s">
        <v>209</v>
      </c>
      <c r="B59" s="1" t="s">
        <v>208</v>
      </c>
      <c r="C59" s="3">
        <v>3.0692560000000002</v>
      </c>
      <c r="D59" s="3">
        <v>2.8417490000000001</v>
      </c>
      <c r="E59" s="3">
        <v>3.2967620000000002</v>
      </c>
      <c r="F59" s="2">
        <v>56</v>
      </c>
      <c r="G59" s="2">
        <v>45</v>
      </c>
      <c r="H59" s="2">
        <v>71</v>
      </c>
      <c r="I59" s="3">
        <f>(C59-1)*100/($C$4-1)</f>
        <v>64.143743565882744</v>
      </c>
      <c r="J59" s="3">
        <v>2.7809520000000001</v>
      </c>
      <c r="K59" s="2">
        <v>59</v>
      </c>
      <c r="L59" s="3">
        <v>2.9428570000000001</v>
      </c>
      <c r="M59" s="2">
        <v>55</v>
      </c>
      <c r="N59" s="3">
        <v>3.0862430000000001</v>
      </c>
      <c r="O59" s="2">
        <v>55</v>
      </c>
      <c r="P59" s="3">
        <v>2.8523809999999998</v>
      </c>
      <c r="Q59" s="2">
        <v>65</v>
      </c>
      <c r="R59" s="3">
        <v>3.1200100000000002</v>
      </c>
      <c r="S59" s="2">
        <v>56</v>
      </c>
      <c r="T59" s="3">
        <v>3.6120730000000001</v>
      </c>
      <c r="U59" s="2">
        <v>50</v>
      </c>
    </row>
    <row r="60" spans="1:21" x14ac:dyDescent="0.2">
      <c r="A60" s="1" t="s">
        <v>207</v>
      </c>
      <c r="B60" s="1" t="s">
        <v>206</v>
      </c>
      <c r="C60" s="3">
        <v>3.045458</v>
      </c>
      <c r="D60" s="3">
        <v>2.824522</v>
      </c>
      <c r="E60" s="3">
        <v>3.266394</v>
      </c>
      <c r="F60" s="2">
        <v>57</v>
      </c>
      <c r="G60" s="2">
        <v>45</v>
      </c>
      <c r="H60" s="2">
        <v>71</v>
      </c>
      <c r="I60" s="3">
        <f>(C60-1)*100/($C$4-1)</f>
        <v>63.40604228127566</v>
      </c>
      <c r="J60" s="3">
        <v>3.049388</v>
      </c>
      <c r="K60" s="2">
        <v>48</v>
      </c>
      <c r="L60" s="3">
        <v>2.95539</v>
      </c>
      <c r="M60" s="2">
        <v>54</v>
      </c>
      <c r="N60" s="3">
        <v>2.9080270000000001</v>
      </c>
      <c r="O60" s="2">
        <v>70</v>
      </c>
      <c r="P60" s="3">
        <v>2.7351619999999999</v>
      </c>
      <c r="Q60" s="2">
        <v>75</v>
      </c>
      <c r="R60" s="3">
        <v>2.8851619999999998</v>
      </c>
      <c r="S60" s="2">
        <v>70</v>
      </c>
      <c r="T60" s="3">
        <v>3.7187399999999999</v>
      </c>
      <c r="U60" s="2">
        <v>43</v>
      </c>
    </row>
    <row r="61" spans="1:21" x14ac:dyDescent="0.2">
      <c r="A61" s="1" t="s">
        <v>205</v>
      </c>
      <c r="B61" s="1" t="s">
        <v>204</v>
      </c>
      <c r="C61" s="3">
        <v>3.0432839999999999</v>
      </c>
      <c r="D61" s="3">
        <v>2.9315790000000002</v>
      </c>
      <c r="E61" s="3">
        <v>3.154989</v>
      </c>
      <c r="F61" s="2">
        <v>58</v>
      </c>
      <c r="G61" s="2">
        <v>53</v>
      </c>
      <c r="H61" s="2">
        <v>67</v>
      </c>
      <c r="I61" s="3">
        <f>(C61-1)*100/($C$4-1)</f>
        <v>63.338651635308111</v>
      </c>
      <c r="J61" s="3">
        <v>2.9722900000000001</v>
      </c>
      <c r="K61" s="2">
        <v>51</v>
      </c>
      <c r="L61" s="3">
        <v>2.7397239999999998</v>
      </c>
      <c r="M61" s="2">
        <v>67</v>
      </c>
      <c r="N61" s="3">
        <v>2.8786130000000001</v>
      </c>
      <c r="O61" s="2">
        <v>74</v>
      </c>
      <c r="P61" s="3">
        <v>2.9312290000000001</v>
      </c>
      <c r="Q61" s="2">
        <v>57</v>
      </c>
      <c r="R61" s="3">
        <v>3.0093920000000001</v>
      </c>
      <c r="S61" s="2">
        <v>59</v>
      </c>
      <c r="T61" s="3">
        <v>3.6980849999999998</v>
      </c>
      <c r="U61" s="2">
        <v>45</v>
      </c>
    </row>
    <row r="62" spans="1:21" x14ac:dyDescent="0.2">
      <c r="A62" s="1" t="s">
        <v>203</v>
      </c>
      <c r="B62" s="1" t="s">
        <v>202</v>
      </c>
      <c r="C62" s="3">
        <v>2.9990610000000002</v>
      </c>
      <c r="D62" s="3">
        <v>2.7816999999999998</v>
      </c>
      <c r="E62" s="3">
        <v>3.2164220000000001</v>
      </c>
      <c r="F62" s="2">
        <v>59</v>
      </c>
      <c r="G62" s="2">
        <v>49</v>
      </c>
      <c r="H62" s="2">
        <v>73</v>
      </c>
      <c r="I62" s="3">
        <f>(C62-1)*100/($C$4-1)</f>
        <v>61.967806862252473</v>
      </c>
      <c r="J62" s="3">
        <v>3.1111110000000002</v>
      </c>
      <c r="K62" s="2">
        <v>44</v>
      </c>
      <c r="L62" s="3">
        <v>3</v>
      </c>
      <c r="M62" s="2">
        <v>52</v>
      </c>
      <c r="N62" s="3">
        <v>2.7972980000000001</v>
      </c>
      <c r="O62" s="2">
        <v>78</v>
      </c>
      <c r="P62" s="3">
        <v>2.7222219999999999</v>
      </c>
      <c r="Q62" s="2">
        <v>76</v>
      </c>
      <c r="R62" s="3">
        <v>2.5389430000000002</v>
      </c>
      <c r="S62" s="2">
        <v>98</v>
      </c>
      <c r="T62" s="3">
        <v>3.7934100000000002</v>
      </c>
      <c r="U62" s="2">
        <v>38</v>
      </c>
    </row>
    <row r="63" spans="1:21" x14ac:dyDescent="0.2">
      <c r="A63" s="1" t="s">
        <v>201</v>
      </c>
      <c r="B63" s="1" t="s">
        <v>200</v>
      </c>
      <c r="C63" s="3">
        <v>2.9931199999999998</v>
      </c>
      <c r="D63" s="3">
        <v>2.8056450000000002</v>
      </c>
      <c r="E63" s="3">
        <v>3.1805949999999998</v>
      </c>
      <c r="F63" s="2">
        <v>60</v>
      </c>
      <c r="G63" s="2">
        <v>51</v>
      </c>
      <c r="H63" s="2">
        <v>72</v>
      </c>
      <c r="I63" s="3">
        <f>(C63-1)*100/($C$4-1)</f>
        <v>61.783645027986957</v>
      </c>
      <c r="J63" s="3">
        <v>3</v>
      </c>
      <c r="K63" s="2">
        <v>50</v>
      </c>
      <c r="L63" s="3">
        <v>2.8823530000000002</v>
      </c>
      <c r="M63" s="2">
        <v>58</v>
      </c>
      <c r="N63" s="3">
        <v>3.058824</v>
      </c>
      <c r="O63" s="2">
        <v>57</v>
      </c>
      <c r="P63" s="3">
        <v>2.8205339999999999</v>
      </c>
      <c r="Q63" s="2">
        <v>67</v>
      </c>
      <c r="R63" s="3">
        <v>2.9455339999999999</v>
      </c>
      <c r="S63" s="2">
        <v>64</v>
      </c>
      <c r="T63" s="3">
        <v>3.2242220000000001</v>
      </c>
      <c r="U63" s="2">
        <v>81</v>
      </c>
    </row>
    <row r="64" spans="1:21" x14ac:dyDescent="0.2">
      <c r="A64" s="1" t="s">
        <v>199</v>
      </c>
      <c r="B64" s="1" t="s">
        <v>198</v>
      </c>
      <c r="C64" s="3">
        <v>2.9901849999999999</v>
      </c>
      <c r="D64" s="3">
        <v>2.8933960000000001</v>
      </c>
      <c r="E64" s="3">
        <v>3.0869740000000001</v>
      </c>
      <c r="F64" s="2">
        <v>61</v>
      </c>
      <c r="G64" s="2">
        <v>56</v>
      </c>
      <c r="H64" s="2">
        <v>68</v>
      </c>
      <c r="I64" s="3">
        <f>(C64-1)*100/($C$4-1)</f>
        <v>61.692664556085042</v>
      </c>
      <c r="J64" s="3">
        <v>2.7756609999999999</v>
      </c>
      <c r="K64" s="2">
        <v>60</v>
      </c>
      <c r="L64" s="3">
        <v>2.8115860000000001</v>
      </c>
      <c r="M64" s="2">
        <v>60</v>
      </c>
      <c r="N64" s="3">
        <v>2.9824190000000002</v>
      </c>
      <c r="O64" s="2">
        <v>63</v>
      </c>
      <c r="P64" s="3">
        <v>2.9167670000000001</v>
      </c>
      <c r="Q64" s="2">
        <v>58</v>
      </c>
      <c r="R64" s="3">
        <v>2.983806</v>
      </c>
      <c r="S64" s="2">
        <v>60</v>
      </c>
      <c r="T64" s="3">
        <v>3.4435880000000001</v>
      </c>
      <c r="U64" s="2">
        <v>64</v>
      </c>
    </row>
    <row r="65" spans="1:21" x14ac:dyDescent="0.2">
      <c r="A65" s="1" t="s">
        <v>197</v>
      </c>
      <c r="B65" s="1" t="s">
        <v>196</v>
      </c>
      <c r="C65" s="3">
        <v>2.9862289999999998</v>
      </c>
      <c r="D65" s="3">
        <v>2.8028680000000001</v>
      </c>
      <c r="E65" s="3">
        <v>3.1695890000000002</v>
      </c>
      <c r="F65" s="2">
        <v>62</v>
      </c>
      <c r="G65" s="2">
        <v>51</v>
      </c>
      <c r="H65" s="2">
        <v>72</v>
      </c>
      <c r="I65" s="3">
        <f>(C65-1)*100/($C$4-1)</f>
        <v>61.570034659375004</v>
      </c>
      <c r="J65" s="3">
        <v>2.933449</v>
      </c>
      <c r="K65" s="2">
        <v>52</v>
      </c>
      <c r="L65" s="3">
        <v>2.621956</v>
      </c>
      <c r="M65" s="2">
        <v>76</v>
      </c>
      <c r="N65" s="3">
        <v>3.053013</v>
      </c>
      <c r="O65" s="2">
        <v>59</v>
      </c>
      <c r="P65" s="3">
        <v>2.8680340000000002</v>
      </c>
      <c r="Q65" s="2">
        <v>63</v>
      </c>
      <c r="R65" s="3">
        <v>3.0400860000000001</v>
      </c>
      <c r="S65" s="2">
        <v>58</v>
      </c>
      <c r="T65" s="3">
        <v>3.3518289999999999</v>
      </c>
      <c r="U65" s="2">
        <v>69</v>
      </c>
    </row>
    <row r="66" spans="1:21" x14ac:dyDescent="0.2">
      <c r="A66" s="1" t="s">
        <v>195</v>
      </c>
      <c r="B66" s="1" t="s">
        <v>194</v>
      </c>
      <c r="C66" s="3">
        <v>2.984537</v>
      </c>
      <c r="D66" s="3">
        <v>2.802575</v>
      </c>
      <c r="E66" s="3">
        <v>3.166499</v>
      </c>
      <c r="F66" s="2">
        <v>63</v>
      </c>
      <c r="G66" s="2">
        <v>51</v>
      </c>
      <c r="H66" s="2">
        <v>72</v>
      </c>
      <c r="I66" s="3">
        <f>(C66-1)*100/($C$4-1)</f>
        <v>61.517585269781129</v>
      </c>
      <c r="J66" s="3">
        <v>2.6884290000000002</v>
      </c>
      <c r="K66" s="2">
        <v>69</v>
      </c>
      <c r="L66" s="3">
        <v>2.6451609999999999</v>
      </c>
      <c r="M66" s="2">
        <v>73</v>
      </c>
      <c r="N66" s="3">
        <v>2.9019080000000002</v>
      </c>
      <c r="O66" s="2">
        <v>71</v>
      </c>
      <c r="P66" s="3">
        <v>3.000057</v>
      </c>
      <c r="Q66" s="2">
        <v>55</v>
      </c>
      <c r="R66" s="3">
        <v>3.1923650000000001</v>
      </c>
      <c r="S66" s="2">
        <v>51</v>
      </c>
      <c r="T66" s="3">
        <v>3.4599169999999999</v>
      </c>
      <c r="U66" s="2">
        <v>62</v>
      </c>
    </row>
    <row r="67" spans="1:21" x14ac:dyDescent="0.2">
      <c r="A67" s="1" t="s">
        <v>193</v>
      </c>
      <c r="B67" s="1" t="s">
        <v>192</v>
      </c>
      <c r="C67" s="3">
        <v>2.976629</v>
      </c>
      <c r="D67" s="3">
        <v>2.7575859999999999</v>
      </c>
      <c r="E67" s="3">
        <v>3.1956720000000001</v>
      </c>
      <c r="F67" s="2">
        <v>64</v>
      </c>
      <c r="G67" s="2">
        <v>49</v>
      </c>
      <c r="H67" s="2">
        <v>76</v>
      </c>
      <c r="I67" s="3">
        <f>(C67-1)*100/($C$4-1)</f>
        <v>61.272449470189876</v>
      </c>
      <c r="J67" s="3">
        <v>2.7505500000000001</v>
      </c>
      <c r="K67" s="2">
        <v>64</v>
      </c>
      <c r="L67" s="3">
        <v>2.6951909999999999</v>
      </c>
      <c r="M67" s="2">
        <v>70</v>
      </c>
      <c r="N67" s="3">
        <v>3.1234739999999999</v>
      </c>
      <c r="O67" s="2">
        <v>50</v>
      </c>
      <c r="P67" s="3">
        <v>2.882517</v>
      </c>
      <c r="Q67" s="2">
        <v>62</v>
      </c>
      <c r="R67" s="3">
        <v>2.8429220000000002</v>
      </c>
      <c r="S67" s="2">
        <v>75</v>
      </c>
      <c r="T67" s="3">
        <v>3.4983590000000002</v>
      </c>
      <c r="U67" s="2">
        <v>56</v>
      </c>
    </row>
    <row r="68" spans="1:21" x14ac:dyDescent="0.2">
      <c r="A68" s="1" t="s">
        <v>191</v>
      </c>
      <c r="B68" s="1" t="s">
        <v>190</v>
      </c>
      <c r="C68" s="3">
        <v>2.974545</v>
      </c>
      <c r="D68" s="3">
        <v>2.7877710000000002</v>
      </c>
      <c r="E68" s="3">
        <v>3.1613180000000001</v>
      </c>
      <c r="F68" s="2">
        <v>65</v>
      </c>
      <c r="G68" s="2">
        <v>51</v>
      </c>
      <c r="H68" s="2">
        <v>73</v>
      </c>
      <c r="I68" s="3">
        <f>(C68-1)*100/($C$4-1)</f>
        <v>61.207848685370934</v>
      </c>
      <c r="J68" s="3">
        <v>2.7812730000000001</v>
      </c>
      <c r="K68" s="2">
        <v>58</v>
      </c>
      <c r="L68" s="3">
        <v>2.7948719999999998</v>
      </c>
      <c r="M68" s="2">
        <v>61</v>
      </c>
      <c r="N68" s="3">
        <v>2.9115530000000001</v>
      </c>
      <c r="O68" s="2">
        <v>69</v>
      </c>
      <c r="P68" s="3">
        <v>3.0092949999999998</v>
      </c>
      <c r="Q68" s="2">
        <v>53</v>
      </c>
      <c r="R68" s="3">
        <v>2.8429319999999998</v>
      </c>
      <c r="S68" s="2">
        <v>74</v>
      </c>
      <c r="T68" s="3">
        <v>3.4745110000000001</v>
      </c>
      <c r="U68" s="2">
        <v>59</v>
      </c>
    </row>
    <row r="69" spans="1:21" x14ac:dyDescent="0.2">
      <c r="A69" s="1" t="s">
        <v>189</v>
      </c>
      <c r="B69" s="1" t="s">
        <v>188</v>
      </c>
      <c r="C69" s="3">
        <v>2.9626290000000002</v>
      </c>
      <c r="D69" s="3">
        <v>2.8126190000000002</v>
      </c>
      <c r="E69" s="3">
        <v>3.1126390000000002</v>
      </c>
      <c r="F69" s="2">
        <v>66</v>
      </c>
      <c r="G69" s="2">
        <v>55</v>
      </c>
      <c r="H69" s="2">
        <v>71</v>
      </c>
      <c r="I69" s="3">
        <f>(C69-1)*100/($C$4-1)</f>
        <v>60.838471069294897</v>
      </c>
      <c r="J69" s="3">
        <v>2.6285720000000001</v>
      </c>
      <c r="K69" s="2">
        <v>76</v>
      </c>
      <c r="L69" s="3">
        <v>2.8564120000000002</v>
      </c>
      <c r="M69" s="2">
        <v>59</v>
      </c>
      <c r="N69" s="3">
        <v>2.7596379999999998</v>
      </c>
      <c r="O69" s="2">
        <v>81</v>
      </c>
      <c r="P69" s="3">
        <v>2.8252329999999999</v>
      </c>
      <c r="Q69" s="2">
        <v>66</v>
      </c>
      <c r="R69" s="3">
        <v>3.2607309999999998</v>
      </c>
      <c r="S69" s="2">
        <v>47</v>
      </c>
      <c r="T69" s="3">
        <v>3.4709850000000002</v>
      </c>
      <c r="U69" s="2">
        <v>61</v>
      </c>
    </row>
    <row r="70" spans="1:21" x14ac:dyDescent="0.2">
      <c r="A70" s="1" t="s">
        <v>187</v>
      </c>
      <c r="B70" s="1" t="s">
        <v>186</v>
      </c>
      <c r="C70" s="3">
        <v>2.9566110000000001</v>
      </c>
      <c r="D70" s="3">
        <v>2.744246</v>
      </c>
      <c r="E70" s="3">
        <v>3.1689759999999998</v>
      </c>
      <c r="F70" s="2">
        <v>67</v>
      </c>
      <c r="G70" s="2">
        <v>51</v>
      </c>
      <c r="H70" s="2">
        <v>79</v>
      </c>
      <c r="I70" s="3">
        <f>(C70-1)*100/($C$4-1)</f>
        <v>60.651922353824453</v>
      </c>
      <c r="J70" s="3">
        <v>2.5528040000000001</v>
      </c>
      <c r="K70" s="2">
        <v>83</v>
      </c>
      <c r="L70" s="3">
        <v>2.7747809999999999</v>
      </c>
      <c r="M70" s="2">
        <v>62</v>
      </c>
      <c r="N70" s="3">
        <v>3.1737000000000002</v>
      </c>
      <c r="O70" s="2">
        <v>49</v>
      </c>
      <c r="P70" s="3">
        <v>2.8910520000000002</v>
      </c>
      <c r="Q70" s="2">
        <v>61</v>
      </c>
      <c r="R70" s="3">
        <v>2.95825</v>
      </c>
      <c r="S70" s="2">
        <v>62</v>
      </c>
      <c r="T70" s="3">
        <v>3.3397009999999998</v>
      </c>
      <c r="U70" s="2">
        <v>71</v>
      </c>
    </row>
    <row r="71" spans="1:21" x14ac:dyDescent="0.2">
      <c r="A71" s="1" t="s">
        <v>185</v>
      </c>
      <c r="B71" s="1" t="s">
        <v>184</v>
      </c>
      <c r="C71" s="3">
        <v>2.923219</v>
      </c>
      <c r="D71" s="3">
        <v>2.8093129999999999</v>
      </c>
      <c r="E71" s="3">
        <v>3.0371260000000002</v>
      </c>
      <c r="F71" s="2">
        <v>68</v>
      </c>
      <c r="G71" s="2">
        <v>59</v>
      </c>
      <c r="H71" s="2">
        <v>71</v>
      </c>
      <c r="I71" s="3">
        <f>(C71-1)*100/($C$4-1)</f>
        <v>59.616821870775496</v>
      </c>
      <c r="J71" s="3">
        <v>2.6616200000000001</v>
      </c>
      <c r="K71" s="2">
        <v>71</v>
      </c>
      <c r="L71" s="3">
        <v>2.6972749999999999</v>
      </c>
      <c r="M71" s="2">
        <v>69</v>
      </c>
      <c r="N71" s="3">
        <v>2.9318919999999999</v>
      </c>
      <c r="O71" s="2">
        <v>66</v>
      </c>
      <c r="P71" s="3">
        <v>2.8160599999999998</v>
      </c>
      <c r="Q71" s="2">
        <v>68</v>
      </c>
      <c r="R71" s="3">
        <v>2.9140990000000002</v>
      </c>
      <c r="S71" s="2">
        <v>67</v>
      </c>
      <c r="T71" s="3">
        <v>3.482062</v>
      </c>
      <c r="U71" s="2">
        <v>58</v>
      </c>
    </row>
    <row r="72" spans="1:21" x14ac:dyDescent="0.2">
      <c r="A72" s="1" t="s">
        <v>183</v>
      </c>
      <c r="B72" s="1" t="s">
        <v>182</v>
      </c>
      <c r="C72" s="3">
        <v>2.893389</v>
      </c>
      <c r="D72" s="3">
        <v>2.723068</v>
      </c>
      <c r="E72" s="3">
        <v>3.0637089999999998</v>
      </c>
      <c r="F72" s="2">
        <v>69</v>
      </c>
      <c r="G72" s="2">
        <v>57</v>
      </c>
      <c r="H72" s="2">
        <v>81</v>
      </c>
      <c r="I72" s="3">
        <f>(C72-1)*100/($C$4-1)</f>
        <v>58.692137892297104</v>
      </c>
      <c r="J72" s="3">
        <v>2.7559779999999998</v>
      </c>
      <c r="K72" s="2">
        <v>63</v>
      </c>
      <c r="L72" s="3">
        <v>2.623704</v>
      </c>
      <c r="M72" s="2">
        <v>75</v>
      </c>
      <c r="N72" s="3">
        <v>2.912407</v>
      </c>
      <c r="O72" s="2">
        <v>68</v>
      </c>
      <c r="P72" s="3">
        <v>2.8650530000000001</v>
      </c>
      <c r="Q72" s="2">
        <v>64</v>
      </c>
      <c r="R72" s="3">
        <v>2.942091</v>
      </c>
      <c r="S72" s="2">
        <v>65</v>
      </c>
      <c r="T72" s="3">
        <v>3.2277119999999999</v>
      </c>
      <c r="U72" s="2">
        <v>80</v>
      </c>
    </row>
    <row r="73" spans="1:21" x14ac:dyDescent="0.2">
      <c r="A73" s="1" t="s">
        <v>181</v>
      </c>
      <c r="B73" s="1" t="s">
        <v>180</v>
      </c>
      <c r="C73" s="3">
        <v>2.870492</v>
      </c>
      <c r="D73" s="3">
        <v>2.5725039999999999</v>
      </c>
      <c r="E73" s="3">
        <v>3.168479</v>
      </c>
      <c r="F73" s="2">
        <v>70</v>
      </c>
      <c r="G73" s="2">
        <v>51</v>
      </c>
      <c r="H73" s="2">
        <v>98</v>
      </c>
      <c r="I73" s="3">
        <f>(C73-1)*100/($C$4-1)</f>
        <v>57.982366217633356</v>
      </c>
      <c r="J73" s="3">
        <v>2.7818179999999999</v>
      </c>
      <c r="K73" s="2">
        <v>57</v>
      </c>
      <c r="L73" s="3">
        <v>2.7477269999999998</v>
      </c>
      <c r="M73" s="2">
        <v>66</v>
      </c>
      <c r="N73" s="3">
        <v>2.9977269999999998</v>
      </c>
      <c r="O73" s="2">
        <v>62</v>
      </c>
      <c r="P73" s="3">
        <v>2.5672730000000001</v>
      </c>
      <c r="Q73" s="2">
        <v>93</v>
      </c>
      <c r="R73" s="3">
        <v>2.9064930000000002</v>
      </c>
      <c r="S73" s="2">
        <v>68</v>
      </c>
      <c r="T73" s="3">
        <v>3.1922079999999999</v>
      </c>
      <c r="U73" s="2">
        <v>84</v>
      </c>
    </row>
    <row r="74" spans="1:21" x14ac:dyDescent="0.2">
      <c r="A74" s="1" t="s">
        <v>179</v>
      </c>
      <c r="B74" s="1" t="s">
        <v>178</v>
      </c>
      <c r="C74" s="3">
        <v>2.8562590000000001</v>
      </c>
      <c r="D74" s="3">
        <v>2.7151649999999998</v>
      </c>
      <c r="E74" s="3">
        <v>2.9973529999999999</v>
      </c>
      <c r="F74" s="2">
        <v>71</v>
      </c>
      <c r="G74" s="2">
        <v>60</v>
      </c>
      <c r="H74" s="2">
        <v>82</v>
      </c>
      <c r="I74" s="3">
        <f>(C74-1)*100/($C$4-1)</f>
        <v>57.541165176209184</v>
      </c>
      <c r="J74" s="3">
        <v>2.6084770000000002</v>
      </c>
      <c r="K74" s="2">
        <v>78</v>
      </c>
      <c r="L74" s="3">
        <v>2.5500970000000001</v>
      </c>
      <c r="M74" s="2">
        <v>82</v>
      </c>
      <c r="N74" s="3">
        <v>3.0139860000000001</v>
      </c>
      <c r="O74" s="2">
        <v>60</v>
      </c>
      <c r="P74" s="3">
        <v>2.7016119999999999</v>
      </c>
      <c r="Q74" s="2">
        <v>77</v>
      </c>
      <c r="R74" s="3">
        <v>2.855944</v>
      </c>
      <c r="S74" s="2">
        <v>73</v>
      </c>
      <c r="T74" s="3">
        <v>3.3484850000000002</v>
      </c>
      <c r="U74" s="2">
        <v>70</v>
      </c>
    </row>
    <row r="75" spans="1:21" x14ac:dyDescent="0.2">
      <c r="A75" s="1" t="s">
        <v>177</v>
      </c>
      <c r="B75" s="1" t="s">
        <v>176</v>
      </c>
      <c r="C75" s="3">
        <v>2.8076850000000002</v>
      </c>
      <c r="D75" s="3">
        <v>2.5613570000000001</v>
      </c>
      <c r="E75" s="3">
        <v>3.0540129999999999</v>
      </c>
      <c r="F75" s="2">
        <v>72</v>
      </c>
      <c r="G75" s="2">
        <v>57</v>
      </c>
      <c r="H75" s="2">
        <v>100</v>
      </c>
      <c r="I75" s="3">
        <f>(C75-1)*100/($C$4-1)</f>
        <v>56.035446115846824</v>
      </c>
      <c r="J75" s="3">
        <v>2.4</v>
      </c>
      <c r="K75" s="2">
        <v>97</v>
      </c>
      <c r="L75" s="3">
        <v>2.3510529999999998</v>
      </c>
      <c r="M75" s="2">
        <v>101</v>
      </c>
      <c r="N75" s="3">
        <v>2.93</v>
      </c>
      <c r="O75" s="2">
        <v>67</v>
      </c>
      <c r="P75" s="3">
        <v>3.057436</v>
      </c>
      <c r="Q75" s="2">
        <v>52</v>
      </c>
      <c r="R75" s="3">
        <v>2.7194739999999999</v>
      </c>
      <c r="S75" s="2">
        <v>80</v>
      </c>
      <c r="T75" s="3">
        <v>3.3091840000000001</v>
      </c>
      <c r="U75" s="2">
        <v>72</v>
      </c>
    </row>
    <row r="76" spans="1:21" x14ac:dyDescent="0.2">
      <c r="A76" s="1" t="s">
        <v>175</v>
      </c>
      <c r="B76" s="1" t="s">
        <v>174</v>
      </c>
      <c r="C76" s="3">
        <v>2.8005900000000001</v>
      </c>
      <c r="D76" s="3">
        <v>2.5660889999999998</v>
      </c>
      <c r="E76" s="3">
        <v>3.0350920000000001</v>
      </c>
      <c r="F76" s="2">
        <v>73</v>
      </c>
      <c r="G76" s="2">
        <v>59</v>
      </c>
      <c r="H76" s="2">
        <v>99</v>
      </c>
      <c r="I76" s="3">
        <f>(C76-1)*100/($C$4-1)</f>
        <v>55.815512061964689</v>
      </c>
      <c r="J76" s="3">
        <v>2.6153849999999998</v>
      </c>
      <c r="K76" s="2">
        <v>77</v>
      </c>
      <c r="L76" s="3">
        <v>2.3629190000000002</v>
      </c>
      <c r="M76" s="2">
        <v>99</v>
      </c>
      <c r="N76" s="3">
        <v>3.1129190000000002</v>
      </c>
      <c r="O76" s="2">
        <v>52</v>
      </c>
      <c r="P76" s="3">
        <v>2.6048650000000002</v>
      </c>
      <c r="Q76" s="2">
        <v>89</v>
      </c>
      <c r="R76" s="3">
        <v>2.7048649999999999</v>
      </c>
      <c r="S76" s="2">
        <v>81</v>
      </c>
      <c r="T76" s="3">
        <v>3.3046479999999998</v>
      </c>
      <c r="U76" s="2">
        <v>73</v>
      </c>
    </row>
    <row r="77" spans="1:21" x14ac:dyDescent="0.2">
      <c r="A77" s="1" t="s">
        <v>173</v>
      </c>
      <c r="B77" s="1" t="s">
        <v>172</v>
      </c>
      <c r="C77" s="3">
        <v>2.7790810000000001</v>
      </c>
      <c r="D77" s="3">
        <v>2.5647069999999998</v>
      </c>
      <c r="E77" s="3">
        <v>2.993455</v>
      </c>
      <c r="F77" s="2">
        <v>74</v>
      </c>
      <c r="G77" s="2">
        <v>60</v>
      </c>
      <c r="H77" s="2">
        <v>99</v>
      </c>
      <c r="I77" s="3">
        <f>(C77-1)*100/($C$4-1)</f>
        <v>55.14876624590395</v>
      </c>
      <c r="J77" s="3">
        <v>2.6393800000000001</v>
      </c>
      <c r="K77" s="2">
        <v>74</v>
      </c>
      <c r="L77" s="3">
        <v>2.4692099999999999</v>
      </c>
      <c r="M77" s="2">
        <v>88</v>
      </c>
      <c r="N77" s="3">
        <v>2.9532690000000001</v>
      </c>
      <c r="O77" s="2">
        <v>65</v>
      </c>
      <c r="P77" s="3">
        <v>2.6593339999999999</v>
      </c>
      <c r="Q77" s="2">
        <v>84</v>
      </c>
      <c r="R77" s="3">
        <v>2.6493340000000001</v>
      </c>
      <c r="S77" s="2">
        <v>86</v>
      </c>
      <c r="T77" s="3">
        <v>3.2326860000000002</v>
      </c>
      <c r="U77" s="2">
        <v>77</v>
      </c>
    </row>
    <row r="78" spans="1:21" x14ac:dyDescent="0.2">
      <c r="A78" s="1" t="s">
        <v>171</v>
      </c>
      <c r="B78" s="1" t="s">
        <v>170</v>
      </c>
      <c r="C78" s="3">
        <v>2.7696830000000001</v>
      </c>
      <c r="D78" s="3">
        <v>2.5095290000000001</v>
      </c>
      <c r="E78" s="3">
        <v>3.0298379999999998</v>
      </c>
      <c r="F78" s="2">
        <v>75</v>
      </c>
      <c r="G78" s="2">
        <v>59</v>
      </c>
      <c r="H78" s="2">
        <v>107</v>
      </c>
      <c r="I78" s="3">
        <f>(C78-1)*100/($C$4-1)</f>
        <v>54.857442745074579</v>
      </c>
      <c r="J78" s="3">
        <v>2.3684210000000001</v>
      </c>
      <c r="K78" s="2">
        <v>108</v>
      </c>
      <c r="L78" s="3">
        <v>2.577318</v>
      </c>
      <c r="M78" s="2">
        <v>80</v>
      </c>
      <c r="N78" s="3">
        <v>2.8010429999999999</v>
      </c>
      <c r="O78" s="2">
        <v>77</v>
      </c>
      <c r="P78" s="3">
        <v>2.9124979999999998</v>
      </c>
      <c r="Q78" s="2">
        <v>59</v>
      </c>
      <c r="R78" s="3">
        <v>2.8567710000000002</v>
      </c>
      <c r="S78" s="2">
        <v>72</v>
      </c>
      <c r="T78" s="3">
        <v>3.0796809999999999</v>
      </c>
      <c r="U78" s="2">
        <v>91</v>
      </c>
    </row>
    <row r="79" spans="1:21" x14ac:dyDescent="0.2">
      <c r="A79" s="1" t="s">
        <v>169</v>
      </c>
      <c r="B79" s="1" t="s">
        <v>168</v>
      </c>
      <c r="C79" s="3">
        <v>2.7625769999999998</v>
      </c>
      <c r="D79" s="3">
        <v>2.5586739999999999</v>
      </c>
      <c r="E79" s="3">
        <v>2.9664799999999998</v>
      </c>
      <c r="F79" s="2">
        <v>76</v>
      </c>
      <c r="G79" s="2">
        <v>66</v>
      </c>
      <c r="H79" s="2">
        <v>101</v>
      </c>
      <c r="I79" s="3">
        <f>(C79-1)*100/($C$4-1)</f>
        <v>54.637167708163162</v>
      </c>
      <c r="J79" s="3">
        <v>2.5</v>
      </c>
      <c r="K79" s="2">
        <v>87</v>
      </c>
      <c r="L79" s="3">
        <v>2.4910709999999998</v>
      </c>
      <c r="M79" s="2">
        <v>85</v>
      </c>
      <c r="N79" s="3">
        <v>2.6339290000000002</v>
      </c>
      <c r="O79" s="2">
        <v>90</v>
      </c>
      <c r="P79" s="3">
        <v>2.7910710000000001</v>
      </c>
      <c r="Q79" s="2">
        <v>69</v>
      </c>
      <c r="R79" s="3">
        <v>2.9196430000000002</v>
      </c>
      <c r="S79" s="2">
        <v>66</v>
      </c>
      <c r="T79" s="3">
        <v>3.2285710000000001</v>
      </c>
      <c r="U79" s="2">
        <v>79</v>
      </c>
    </row>
    <row r="80" spans="1:21" x14ac:dyDescent="0.2">
      <c r="A80" s="1" t="s">
        <v>167</v>
      </c>
      <c r="B80" s="1" t="s">
        <v>166</v>
      </c>
      <c r="C80" s="3">
        <v>2.7519979999999999</v>
      </c>
      <c r="D80" s="3">
        <v>2.5544660000000001</v>
      </c>
      <c r="E80" s="3">
        <v>2.9495309999999999</v>
      </c>
      <c r="F80" s="2">
        <v>77</v>
      </c>
      <c r="G80" s="2">
        <v>68</v>
      </c>
      <c r="H80" s="2">
        <v>101</v>
      </c>
      <c r="I80" s="3">
        <f>(C80-1)*100/($C$4-1)</f>
        <v>54.309235029372587</v>
      </c>
      <c r="J80" s="3">
        <v>2.516254</v>
      </c>
      <c r="K80" s="2">
        <v>86</v>
      </c>
      <c r="L80" s="3">
        <v>2.7619050000000001</v>
      </c>
      <c r="M80" s="2">
        <v>65</v>
      </c>
      <c r="N80" s="3">
        <v>2.7503929999999999</v>
      </c>
      <c r="O80" s="2">
        <v>82</v>
      </c>
      <c r="P80" s="3">
        <v>2.5675729999999999</v>
      </c>
      <c r="Q80" s="2">
        <v>92</v>
      </c>
      <c r="R80" s="3">
        <v>2.8571430000000002</v>
      </c>
      <c r="S80" s="2">
        <v>71</v>
      </c>
      <c r="T80" s="3">
        <v>3.0632670000000002</v>
      </c>
      <c r="U80" s="2">
        <v>92</v>
      </c>
    </row>
    <row r="81" spans="1:21" x14ac:dyDescent="0.2">
      <c r="A81" s="1" t="s">
        <v>165</v>
      </c>
      <c r="B81" s="1" t="s">
        <v>164</v>
      </c>
      <c r="C81" s="3">
        <v>2.7499370000000001</v>
      </c>
      <c r="D81" s="3">
        <v>2.5787930000000001</v>
      </c>
      <c r="E81" s="3">
        <v>2.921081</v>
      </c>
      <c r="F81" s="2">
        <v>78</v>
      </c>
      <c r="G81" s="2">
        <v>69</v>
      </c>
      <c r="H81" s="2">
        <v>98</v>
      </c>
      <c r="I81" s="3">
        <f>(C81-1)*100/($C$4-1)</f>
        <v>54.245347209069415</v>
      </c>
      <c r="J81" s="3">
        <v>2.6547939999999999</v>
      </c>
      <c r="K81" s="2">
        <v>72</v>
      </c>
      <c r="L81" s="3">
        <v>2.7212960000000002</v>
      </c>
      <c r="M81" s="2">
        <v>68</v>
      </c>
      <c r="N81" s="3">
        <v>2.7965140000000002</v>
      </c>
      <c r="O81" s="2">
        <v>79</v>
      </c>
      <c r="P81" s="3">
        <v>2.7411940000000001</v>
      </c>
      <c r="Q81" s="2">
        <v>73</v>
      </c>
      <c r="R81" s="3">
        <v>2.6370939999999998</v>
      </c>
      <c r="S81" s="2">
        <v>87</v>
      </c>
      <c r="T81" s="3">
        <v>2.928102</v>
      </c>
      <c r="U81" s="2">
        <v>105</v>
      </c>
    </row>
    <row r="82" spans="1:21" x14ac:dyDescent="0.2">
      <c r="A82" s="1" t="s">
        <v>163</v>
      </c>
      <c r="B82" s="1" t="s">
        <v>162</v>
      </c>
      <c r="C82" s="3">
        <v>2.744745</v>
      </c>
      <c r="D82" s="3">
        <v>2.5176270000000001</v>
      </c>
      <c r="E82" s="3">
        <v>2.9718629999999999</v>
      </c>
      <c r="F82" s="2">
        <v>79</v>
      </c>
      <c r="G82" s="2">
        <v>66</v>
      </c>
      <c r="H82" s="2">
        <v>103</v>
      </c>
      <c r="I82" s="3">
        <f>(C82-1)*100/($C$4-1)</f>
        <v>54.084403219251783</v>
      </c>
      <c r="J82" s="3">
        <v>2.647065</v>
      </c>
      <c r="K82" s="2">
        <v>73</v>
      </c>
      <c r="L82" s="3">
        <v>2.7638889999999998</v>
      </c>
      <c r="M82" s="2">
        <v>64</v>
      </c>
      <c r="N82" s="3">
        <v>2.6927080000000001</v>
      </c>
      <c r="O82" s="2">
        <v>86</v>
      </c>
      <c r="P82" s="3">
        <v>2.6300569999999999</v>
      </c>
      <c r="Q82" s="2">
        <v>86</v>
      </c>
      <c r="R82" s="3">
        <v>2.5246590000000002</v>
      </c>
      <c r="S82" s="2">
        <v>100</v>
      </c>
      <c r="T82" s="3">
        <v>3.1913260000000001</v>
      </c>
      <c r="U82" s="2">
        <v>85</v>
      </c>
    </row>
    <row r="83" spans="1:21" x14ac:dyDescent="0.2">
      <c r="A83" s="1" t="s">
        <v>161</v>
      </c>
      <c r="B83" s="1" t="s">
        <v>160</v>
      </c>
      <c r="C83" s="3">
        <v>2.7366830000000002</v>
      </c>
      <c r="D83" s="3">
        <v>2.6025160000000001</v>
      </c>
      <c r="E83" s="3">
        <v>2.8708499999999999</v>
      </c>
      <c r="F83" s="2">
        <v>80</v>
      </c>
      <c r="G83" s="2">
        <v>70</v>
      </c>
      <c r="H83" s="2">
        <v>95</v>
      </c>
      <c r="I83" s="3">
        <f>(C83-1)*100/($C$4-1)</f>
        <v>53.83449365725069</v>
      </c>
      <c r="J83" s="3">
        <v>2.303671</v>
      </c>
      <c r="K83" s="2">
        <v>116</v>
      </c>
      <c r="L83" s="3">
        <v>2.4948070000000002</v>
      </c>
      <c r="M83" s="2">
        <v>84</v>
      </c>
      <c r="N83" s="3">
        <v>2.5923099999999999</v>
      </c>
      <c r="O83" s="2">
        <v>95</v>
      </c>
      <c r="P83" s="3">
        <v>2.5489830000000002</v>
      </c>
      <c r="Q83" s="2">
        <v>95</v>
      </c>
      <c r="R83" s="3">
        <v>2.9623949999999999</v>
      </c>
      <c r="S83" s="2">
        <v>61</v>
      </c>
      <c r="T83" s="3">
        <v>3.511889</v>
      </c>
      <c r="U83" s="2">
        <v>54</v>
      </c>
    </row>
    <row r="84" spans="1:21" x14ac:dyDescent="0.2">
      <c r="A84" s="1" t="s">
        <v>159</v>
      </c>
      <c r="B84" s="1" t="s">
        <v>158</v>
      </c>
      <c r="C84" s="3">
        <v>2.73081</v>
      </c>
      <c r="D84" s="3">
        <v>2.569064</v>
      </c>
      <c r="E84" s="3">
        <v>2.8925559999999999</v>
      </c>
      <c r="F84" s="2">
        <v>81</v>
      </c>
      <c r="G84" s="2">
        <v>70</v>
      </c>
      <c r="H84" s="2">
        <v>99</v>
      </c>
      <c r="I84" s="3">
        <f>(C84-1)*100/($C$4-1)</f>
        <v>53.652439718075229</v>
      </c>
      <c r="J84" s="3">
        <v>2.5517240000000001</v>
      </c>
      <c r="K84" s="2">
        <v>84</v>
      </c>
      <c r="L84" s="3">
        <v>2.6685120000000002</v>
      </c>
      <c r="M84" s="2">
        <v>71</v>
      </c>
      <c r="N84" s="3">
        <v>2.7311429999999999</v>
      </c>
      <c r="O84" s="2">
        <v>83</v>
      </c>
      <c r="P84" s="3">
        <v>2.7815400000000001</v>
      </c>
      <c r="Q84" s="2">
        <v>71</v>
      </c>
      <c r="R84" s="3">
        <v>2.4852439999999998</v>
      </c>
      <c r="S84" s="2">
        <v>103</v>
      </c>
      <c r="T84" s="3">
        <v>3.1322580000000002</v>
      </c>
      <c r="U84" s="2">
        <v>88</v>
      </c>
    </row>
    <row r="85" spans="1:21" x14ac:dyDescent="0.2">
      <c r="A85" s="1" t="s">
        <v>157</v>
      </c>
      <c r="B85" s="1" t="s">
        <v>156</v>
      </c>
      <c r="C85" s="3">
        <v>2.7172550000000002</v>
      </c>
      <c r="D85" s="3">
        <v>2.3114910000000002</v>
      </c>
      <c r="E85" s="3">
        <v>3.1230199999999999</v>
      </c>
      <c r="F85" s="2">
        <v>82</v>
      </c>
      <c r="G85" s="2">
        <v>54</v>
      </c>
      <c r="H85" s="2">
        <v>136</v>
      </c>
      <c r="I85" s="3">
        <f>(C85-1)*100/($C$4-1)</f>
        <v>53.232255630637269</v>
      </c>
      <c r="J85" s="3">
        <v>2.7272729999999998</v>
      </c>
      <c r="K85" s="2">
        <v>66</v>
      </c>
      <c r="L85" s="3">
        <v>2.6429749999999999</v>
      </c>
      <c r="M85" s="2">
        <v>74</v>
      </c>
      <c r="N85" s="3">
        <v>2.842975</v>
      </c>
      <c r="O85" s="2">
        <v>75</v>
      </c>
      <c r="P85" s="3">
        <v>2.454545</v>
      </c>
      <c r="Q85" s="2">
        <v>108</v>
      </c>
      <c r="R85" s="3">
        <v>2.7516989999999999</v>
      </c>
      <c r="S85" s="2">
        <v>78</v>
      </c>
      <c r="T85" s="3">
        <v>2.8628100000000001</v>
      </c>
      <c r="U85" s="2">
        <v>111</v>
      </c>
    </row>
    <row r="86" spans="1:21" x14ac:dyDescent="0.2">
      <c r="A86" s="1" t="s">
        <v>155</v>
      </c>
      <c r="B86" s="1" t="s">
        <v>154</v>
      </c>
      <c r="C86" s="3">
        <v>2.7057259999999999</v>
      </c>
      <c r="D86" s="3">
        <v>2.4812889999999999</v>
      </c>
      <c r="E86" s="3">
        <v>2.9301629999999999</v>
      </c>
      <c r="F86" s="2">
        <v>83</v>
      </c>
      <c r="G86" s="2">
        <v>68</v>
      </c>
      <c r="H86" s="2">
        <v>110</v>
      </c>
      <c r="I86" s="3">
        <f>(C86-1)*100/($C$4-1)</f>
        <v>52.874874417500244</v>
      </c>
      <c r="J86" s="3">
        <v>2.373656</v>
      </c>
      <c r="K86" s="2">
        <v>107</v>
      </c>
      <c r="L86" s="3">
        <v>2.249288</v>
      </c>
      <c r="M86" s="2">
        <v>114</v>
      </c>
      <c r="N86" s="3">
        <v>2.8182239999999998</v>
      </c>
      <c r="O86" s="2">
        <v>76</v>
      </c>
      <c r="P86" s="3">
        <v>2.6600969999999999</v>
      </c>
      <c r="Q86" s="2">
        <v>83</v>
      </c>
      <c r="R86" s="3">
        <v>2.7771819999999998</v>
      </c>
      <c r="S86" s="2">
        <v>76</v>
      </c>
      <c r="T86" s="3">
        <v>3.2897270000000001</v>
      </c>
      <c r="U86" s="2">
        <v>74</v>
      </c>
    </row>
    <row r="87" spans="1:21" x14ac:dyDescent="0.2">
      <c r="A87" s="1" t="s">
        <v>153</v>
      </c>
      <c r="B87" s="1" t="s">
        <v>152</v>
      </c>
      <c r="C87" s="3">
        <v>2.6841050000000002</v>
      </c>
      <c r="D87" s="3">
        <v>2.4830079999999999</v>
      </c>
      <c r="E87" s="3">
        <v>2.885202</v>
      </c>
      <c r="F87" s="2">
        <v>84</v>
      </c>
      <c r="G87" s="2">
        <v>70</v>
      </c>
      <c r="H87" s="2">
        <v>110</v>
      </c>
      <c r="I87" s="3">
        <f>(C87-1)*100/($C$4-1)</f>
        <v>52.204656774232355</v>
      </c>
      <c r="J87" s="3">
        <v>2.491724</v>
      </c>
      <c r="K87" s="2">
        <v>88</v>
      </c>
      <c r="L87" s="3">
        <v>2.2380170000000001</v>
      </c>
      <c r="M87" s="2">
        <v>116</v>
      </c>
      <c r="N87" s="3">
        <v>3.0551059999999999</v>
      </c>
      <c r="O87" s="2">
        <v>58</v>
      </c>
      <c r="P87" s="3">
        <v>2.44495</v>
      </c>
      <c r="Q87" s="2">
        <v>109</v>
      </c>
      <c r="R87" s="3">
        <v>2.7510330000000001</v>
      </c>
      <c r="S87" s="2">
        <v>79</v>
      </c>
      <c r="T87" s="3">
        <v>3.0350549999999998</v>
      </c>
      <c r="U87" s="2">
        <v>97</v>
      </c>
    </row>
    <row r="88" spans="1:21" x14ac:dyDescent="0.2">
      <c r="A88" s="1" t="s">
        <v>151</v>
      </c>
      <c r="B88" s="1" t="s">
        <v>150</v>
      </c>
      <c r="C88" s="3">
        <v>2.6670180000000001</v>
      </c>
      <c r="D88" s="3">
        <v>2.4442170000000001</v>
      </c>
      <c r="E88" s="3">
        <v>2.889818</v>
      </c>
      <c r="F88" s="2">
        <v>85</v>
      </c>
      <c r="G88" s="2">
        <v>70</v>
      </c>
      <c r="H88" s="2">
        <v>113</v>
      </c>
      <c r="I88" s="3">
        <f>(C88-1)*100/($C$4-1)</f>
        <v>51.674986135940024</v>
      </c>
      <c r="J88" s="3">
        <v>2.3963589999999999</v>
      </c>
      <c r="K88" s="2">
        <v>98</v>
      </c>
      <c r="L88" s="3">
        <v>2.2362320000000002</v>
      </c>
      <c r="M88" s="2">
        <v>118</v>
      </c>
      <c r="N88" s="3">
        <v>2.6557369999999998</v>
      </c>
      <c r="O88" s="2">
        <v>89</v>
      </c>
      <c r="P88" s="3">
        <v>2.6591490000000002</v>
      </c>
      <c r="Q88" s="2">
        <v>85</v>
      </c>
      <c r="R88" s="3">
        <v>2.9003930000000002</v>
      </c>
      <c r="S88" s="2">
        <v>69</v>
      </c>
      <c r="T88" s="3">
        <v>3.1198130000000002</v>
      </c>
      <c r="U88" s="2">
        <v>90</v>
      </c>
    </row>
    <row r="89" spans="1:21" x14ac:dyDescent="0.2">
      <c r="A89" s="1" t="s">
        <v>149</v>
      </c>
      <c r="B89" s="1" t="s">
        <v>148</v>
      </c>
      <c r="C89" s="3">
        <v>2.665994</v>
      </c>
      <c r="D89" s="3">
        <v>2.253498</v>
      </c>
      <c r="E89" s="3">
        <v>3.0784899999999999</v>
      </c>
      <c r="F89" s="2">
        <v>86</v>
      </c>
      <c r="G89" s="2">
        <v>56</v>
      </c>
      <c r="H89" s="2">
        <v>137</v>
      </c>
      <c r="I89" s="3">
        <f>(C89-1)*100/($C$4-1)</f>
        <v>51.643243715760271</v>
      </c>
      <c r="J89" s="3">
        <v>2.2222219999999999</v>
      </c>
      <c r="K89" s="2">
        <v>124</v>
      </c>
      <c r="L89" s="3">
        <v>2.4614199999999999</v>
      </c>
      <c r="M89" s="2">
        <v>90</v>
      </c>
      <c r="N89" s="3">
        <v>3.0864199999999999</v>
      </c>
      <c r="O89" s="2">
        <v>54</v>
      </c>
      <c r="P89" s="3">
        <v>2.5864199999999999</v>
      </c>
      <c r="Q89" s="2">
        <v>91</v>
      </c>
      <c r="R89" s="3">
        <v>2.3364199999999999</v>
      </c>
      <c r="S89" s="2">
        <v>122</v>
      </c>
      <c r="T89" s="3">
        <v>3.1993390000000002</v>
      </c>
      <c r="U89" s="2">
        <v>83</v>
      </c>
    </row>
    <row r="90" spans="1:21" x14ac:dyDescent="0.2">
      <c r="A90" s="1" t="s">
        <v>147</v>
      </c>
      <c r="B90" s="1" t="s">
        <v>146</v>
      </c>
      <c r="C90" s="3">
        <v>2.6639020000000002</v>
      </c>
      <c r="D90" s="3">
        <v>2.496588</v>
      </c>
      <c r="E90" s="3">
        <v>2.8312149999999998</v>
      </c>
      <c r="F90" s="2">
        <v>87</v>
      </c>
      <c r="G90" s="2">
        <v>72</v>
      </c>
      <c r="H90" s="2">
        <v>110</v>
      </c>
      <c r="I90" s="3">
        <f>(C90-1)*100/($C$4-1)</f>
        <v>51.578394943283683</v>
      </c>
      <c r="J90" s="3">
        <v>2.567212</v>
      </c>
      <c r="K90" s="2">
        <v>82</v>
      </c>
      <c r="L90" s="3">
        <v>2.48</v>
      </c>
      <c r="M90" s="2">
        <v>87</v>
      </c>
      <c r="N90" s="3">
        <v>2.73</v>
      </c>
      <c r="O90" s="2">
        <v>84</v>
      </c>
      <c r="P90" s="3">
        <v>2.6739389999999998</v>
      </c>
      <c r="Q90" s="2">
        <v>80</v>
      </c>
      <c r="R90" s="3">
        <v>2.5938789999999998</v>
      </c>
      <c r="S90" s="2">
        <v>92</v>
      </c>
      <c r="T90" s="3">
        <v>2.9012120000000001</v>
      </c>
      <c r="U90" s="2">
        <v>109</v>
      </c>
    </row>
    <row r="91" spans="1:21" x14ac:dyDescent="0.2">
      <c r="A91" s="1" t="s">
        <v>145</v>
      </c>
      <c r="B91" s="1" t="s">
        <v>144</v>
      </c>
      <c r="C91" s="3">
        <v>2.6609310000000002</v>
      </c>
      <c r="D91" s="3">
        <v>2.4822030000000002</v>
      </c>
      <c r="E91" s="3">
        <v>2.839658</v>
      </c>
      <c r="F91" s="2">
        <v>88</v>
      </c>
      <c r="G91" s="2">
        <v>72</v>
      </c>
      <c r="H91" s="2">
        <v>110</v>
      </c>
      <c r="I91" s="3">
        <f>(C91-1)*100/($C$4-1)</f>
        <v>51.486298526922326</v>
      </c>
      <c r="J91" s="3">
        <v>2.4568940000000001</v>
      </c>
      <c r="K91" s="2">
        <v>93</v>
      </c>
      <c r="L91" s="3">
        <v>2.484248</v>
      </c>
      <c r="M91" s="2">
        <v>86</v>
      </c>
      <c r="N91" s="3">
        <v>2.7141730000000002</v>
      </c>
      <c r="O91" s="2">
        <v>85</v>
      </c>
      <c r="P91" s="3">
        <v>2.5384039999999999</v>
      </c>
      <c r="Q91" s="2">
        <v>98</v>
      </c>
      <c r="R91" s="3">
        <v>2.5153650000000001</v>
      </c>
      <c r="S91" s="2">
        <v>101</v>
      </c>
      <c r="T91" s="3">
        <v>3.2096149999999999</v>
      </c>
      <c r="U91" s="2">
        <v>82</v>
      </c>
    </row>
    <row r="92" spans="1:21" x14ac:dyDescent="0.2">
      <c r="A92" s="1" t="s">
        <v>143</v>
      </c>
      <c r="B92" s="1" t="s">
        <v>142</v>
      </c>
      <c r="C92" s="3">
        <v>2.6489699999999998</v>
      </c>
      <c r="D92" s="3">
        <v>2.4742250000000001</v>
      </c>
      <c r="E92" s="3">
        <v>2.8237160000000001</v>
      </c>
      <c r="F92" s="2">
        <v>89</v>
      </c>
      <c r="G92" s="2">
        <v>72</v>
      </c>
      <c r="H92" s="2">
        <v>111</v>
      </c>
      <c r="I92" s="3">
        <f>(C92-1)*100/($C$4-1)</f>
        <v>51.115525980271961</v>
      </c>
      <c r="J92" s="3">
        <v>2.3256410000000001</v>
      </c>
      <c r="K92" s="2">
        <v>113</v>
      </c>
      <c r="L92" s="3">
        <v>2.317628</v>
      </c>
      <c r="M92" s="2">
        <v>107</v>
      </c>
      <c r="N92" s="3">
        <v>2.8932440000000001</v>
      </c>
      <c r="O92" s="2">
        <v>73</v>
      </c>
      <c r="P92" s="3">
        <v>2.551282</v>
      </c>
      <c r="Q92" s="2">
        <v>94</v>
      </c>
      <c r="R92" s="3">
        <v>2.773504</v>
      </c>
      <c r="S92" s="2">
        <v>77</v>
      </c>
      <c r="T92" s="3">
        <v>2.9751270000000001</v>
      </c>
      <c r="U92" s="2">
        <v>101</v>
      </c>
    </row>
    <row r="93" spans="1:21" x14ac:dyDescent="0.2">
      <c r="A93" s="1" t="s">
        <v>141</v>
      </c>
      <c r="B93" s="1" t="s">
        <v>140</v>
      </c>
      <c r="C93" s="3">
        <v>2.6280899999999998</v>
      </c>
      <c r="D93" s="3">
        <v>2.459781</v>
      </c>
      <c r="E93" s="3">
        <v>2.7964000000000002</v>
      </c>
      <c r="F93" s="2">
        <v>90</v>
      </c>
      <c r="G93" s="2">
        <v>74</v>
      </c>
      <c r="H93" s="2">
        <v>112</v>
      </c>
      <c r="I93" s="3">
        <f>(C93-1)*100/($C$4-1)</f>
        <v>50.468278193794291</v>
      </c>
      <c r="J93" s="3">
        <v>2.4619800000000001</v>
      </c>
      <c r="K93" s="2">
        <v>92</v>
      </c>
      <c r="L93" s="3">
        <v>2.3988459999999998</v>
      </c>
      <c r="M93" s="2">
        <v>96</v>
      </c>
      <c r="N93" s="3">
        <v>2.429646</v>
      </c>
      <c r="O93" s="2">
        <v>118</v>
      </c>
      <c r="P93" s="3">
        <v>2.7352539999999999</v>
      </c>
      <c r="Q93" s="2">
        <v>74</v>
      </c>
      <c r="R93" s="3">
        <v>2.695249</v>
      </c>
      <c r="S93" s="2">
        <v>82</v>
      </c>
      <c r="T93" s="3">
        <v>3.041795</v>
      </c>
      <c r="U93" s="2">
        <v>95</v>
      </c>
    </row>
    <row r="94" spans="1:21" x14ac:dyDescent="0.2">
      <c r="A94" s="1" t="s">
        <v>139</v>
      </c>
      <c r="B94" s="1" t="s">
        <v>138</v>
      </c>
      <c r="C94" s="3">
        <v>2.6272799999999998</v>
      </c>
      <c r="D94" s="3">
        <v>2.4628450000000002</v>
      </c>
      <c r="E94" s="3">
        <v>2.7917139999999998</v>
      </c>
      <c r="F94" s="2">
        <v>91</v>
      </c>
      <c r="G94" s="2">
        <v>74</v>
      </c>
      <c r="H94" s="2">
        <v>111</v>
      </c>
      <c r="I94" s="3">
        <f>(C94-1)*100/($C$4-1)</f>
        <v>50.443169443456796</v>
      </c>
      <c r="J94" s="3">
        <v>2.3878789999999999</v>
      </c>
      <c r="K94" s="2">
        <v>101</v>
      </c>
      <c r="L94" s="3">
        <v>2.2896969999999999</v>
      </c>
      <c r="M94" s="2">
        <v>111</v>
      </c>
      <c r="N94" s="3">
        <v>2.6701009999999998</v>
      </c>
      <c r="O94" s="2">
        <v>87</v>
      </c>
      <c r="P94" s="3">
        <v>2.677222</v>
      </c>
      <c r="Q94" s="2">
        <v>79</v>
      </c>
      <c r="R94" s="3">
        <v>2.6272220000000002</v>
      </c>
      <c r="S94" s="2">
        <v>88</v>
      </c>
      <c r="T94" s="3">
        <v>3.062424</v>
      </c>
      <c r="U94" s="2">
        <v>93</v>
      </c>
    </row>
    <row r="95" spans="1:21" x14ac:dyDescent="0.2">
      <c r="A95" s="1" t="s">
        <v>137</v>
      </c>
      <c r="B95" s="1" t="s">
        <v>136</v>
      </c>
      <c r="C95" s="3">
        <v>2.6177779999999999</v>
      </c>
      <c r="D95" s="3">
        <v>2.3524409999999998</v>
      </c>
      <c r="E95" s="3">
        <v>2.8831159999999998</v>
      </c>
      <c r="F95" s="2">
        <v>92</v>
      </c>
      <c r="G95" s="2">
        <v>70</v>
      </c>
      <c r="H95" s="2">
        <v>130</v>
      </c>
      <c r="I95" s="3">
        <f>(C95-1)*100/($C$4-1)</f>
        <v>50.148622103077926</v>
      </c>
      <c r="J95" s="3">
        <v>2.4907870000000001</v>
      </c>
      <c r="K95" s="2">
        <v>89</v>
      </c>
      <c r="L95" s="3">
        <v>2.2366280000000001</v>
      </c>
      <c r="M95" s="2">
        <v>117</v>
      </c>
      <c r="N95" s="3">
        <v>2.6224919999999998</v>
      </c>
      <c r="O95" s="2">
        <v>93</v>
      </c>
      <c r="P95" s="3">
        <v>2.4620160000000002</v>
      </c>
      <c r="Q95" s="2">
        <v>106</v>
      </c>
      <c r="R95" s="3">
        <v>2.598379</v>
      </c>
      <c r="S95" s="2">
        <v>91</v>
      </c>
      <c r="T95" s="3">
        <v>3.2413720000000001</v>
      </c>
      <c r="U95" s="2">
        <v>76</v>
      </c>
    </row>
    <row r="96" spans="1:21" x14ac:dyDescent="0.2">
      <c r="A96" s="1" t="s">
        <v>135</v>
      </c>
      <c r="B96" s="1" t="s">
        <v>134</v>
      </c>
      <c r="C96" s="3">
        <v>2.6142690000000002</v>
      </c>
      <c r="D96" s="3">
        <v>2.4281380000000001</v>
      </c>
      <c r="E96" s="3">
        <v>2.8003999999999998</v>
      </c>
      <c r="F96" s="2">
        <v>93</v>
      </c>
      <c r="G96" s="2">
        <v>74</v>
      </c>
      <c r="H96" s="2">
        <v>114</v>
      </c>
      <c r="I96" s="3">
        <f>(C96-1)*100/($C$4-1)</f>
        <v>50.039848516739333</v>
      </c>
      <c r="J96" s="3">
        <v>2.3939699999999999</v>
      </c>
      <c r="K96" s="2">
        <v>99</v>
      </c>
      <c r="L96" s="3">
        <v>2.3529409999999999</v>
      </c>
      <c r="M96" s="2">
        <v>100</v>
      </c>
      <c r="N96" s="3">
        <v>2.6029409999999999</v>
      </c>
      <c r="O96" s="2">
        <v>94</v>
      </c>
      <c r="P96" s="3">
        <v>2.4779409999999999</v>
      </c>
      <c r="Q96" s="2">
        <v>103</v>
      </c>
      <c r="R96" s="3">
        <v>2.6654409999999999</v>
      </c>
      <c r="S96" s="2">
        <v>85</v>
      </c>
      <c r="T96" s="3">
        <v>3.1595589999999998</v>
      </c>
      <c r="U96" s="2">
        <v>86</v>
      </c>
    </row>
    <row r="97" spans="1:21" x14ac:dyDescent="0.2">
      <c r="A97" s="1" t="s">
        <v>133</v>
      </c>
      <c r="B97" s="1" t="s">
        <v>132</v>
      </c>
      <c r="C97" s="3">
        <v>2.6123509999999999</v>
      </c>
      <c r="D97" s="3">
        <v>2.4316399999999998</v>
      </c>
      <c r="E97" s="3">
        <v>2.7930619999999999</v>
      </c>
      <c r="F97" s="2">
        <v>94</v>
      </c>
      <c r="G97" s="2">
        <v>74</v>
      </c>
      <c r="H97" s="2">
        <v>113</v>
      </c>
      <c r="I97" s="3">
        <f>(C97-1)*100/($C$4-1)</f>
        <v>49.980393475816705</v>
      </c>
      <c r="J97" s="3">
        <v>2.2079710000000001</v>
      </c>
      <c r="K97" s="2">
        <v>129</v>
      </c>
      <c r="L97" s="3">
        <v>2.4291510000000001</v>
      </c>
      <c r="M97" s="2">
        <v>95</v>
      </c>
      <c r="N97" s="3">
        <v>2.5503130000000001</v>
      </c>
      <c r="O97" s="2">
        <v>103</v>
      </c>
      <c r="P97" s="3">
        <v>2.672612</v>
      </c>
      <c r="Q97" s="2">
        <v>81</v>
      </c>
      <c r="R97" s="3">
        <v>2.5533700000000001</v>
      </c>
      <c r="S97" s="2">
        <v>96</v>
      </c>
      <c r="T97" s="3">
        <v>3.2314349999999998</v>
      </c>
      <c r="U97" s="2">
        <v>78</v>
      </c>
    </row>
    <row r="98" spans="1:21" x14ac:dyDescent="0.2">
      <c r="A98" s="1" t="s">
        <v>131</v>
      </c>
      <c r="B98" s="1" t="s">
        <v>130</v>
      </c>
      <c r="C98" s="3">
        <v>2.602573</v>
      </c>
      <c r="D98" s="3">
        <v>2.2786979999999999</v>
      </c>
      <c r="E98" s="3">
        <v>2.9264480000000002</v>
      </c>
      <c r="F98" s="2">
        <v>95</v>
      </c>
      <c r="G98" s="2">
        <v>68</v>
      </c>
      <c r="H98" s="2">
        <v>136</v>
      </c>
      <c r="I98" s="3">
        <f>(C98-1)*100/($C$4-1)</f>
        <v>49.677290561248775</v>
      </c>
      <c r="J98" s="3">
        <v>2.6666669999999999</v>
      </c>
      <c r="K98" s="2">
        <v>70</v>
      </c>
      <c r="L98" s="3">
        <v>2.4632480000000001</v>
      </c>
      <c r="M98" s="2">
        <v>89</v>
      </c>
      <c r="N98" s="3">
        <v>2.5367519999999999</v>
      </c>
      <c r="O98" s="2">
        <v>105</v>
      </c>
      <c r="P98" s="3">
        <v>2.6172360000000001</v>
      </c>
      <c r="Q98" s="2">
        <v>87</v>
      </c>
      <c r="R98" s="3">
        <v>2.6157699999999999</v>
      </c>
      <c r="S98" s="2">
        <v>89</v>
      </c>
      <c r="T98" s="3">
        <v>2.7066789999999998</v>
      </c>
      <c r="U98" s="2">
        <v>128</v>
      </c>
    </row>
    <row r="99" spans="1:21" x14ac:dyDescent="0.2">
      <c r="A99" s="1" t="s">
        <v>129</v>
      </c>
      <c r="B99" s="1" t="s">
        <v>128</v>
      </c>
      <c r="C99" s="3">
        <v>2.601254</v>
      </c>
      <c r="D99" s="3">
        <v>2.2612239999999999</v>
      </c>
      <c r="E99" s="3">
        <v>2.9412850000000001</v>
      </c>
      <c r="F99" s="2">
        <v>96</v>
      </c>
      <c r="G99" s="2">
        <v>68</v>
      </c>
      <c r="H99" s="2">
        <v>137</v>
      </c>
      <c r="I99" s="3">
        <f>(C99-1)*100/($C$4-1)</f>
        <v>49.636403596193013</v>
      </c>
      <c r="J99" s="3">
        <v>2.3333330000000001</v>
      </c>
      <c r="K99" s="2">
        <v>110</v>
      </c>
      <c r="L99" s="3">
        <v>2.6666669999999999</v>
      </c>
      <c r="M99" s="2">
        <v>72</v>
      </c>
      <c r="N99" s="3">
        <v>2.6666669999999999</v>
      </c>
      <c r="O99" s="2">
        <v>88</v>
      </c>
      <c r="P99" s="3">
        <v>2.6666669999999999</v>
      </c>
      <c r="Q99" s="2">
        <v>82</v>
      </c>
      <c r="R99" s="3">
        <v>2.4444439999999998</v>
      </c>
      <c r="S99" s="2">
        <v>111</v>
      </c>
      <c r="T99" s="3">
        <v>2.813272</v>
      </c>
      <c r="U99" s="2">
        <v>116</v>
      </c>
    </row>
    <row r="100" spans="1:21" x14ac:dyDescent="0.2">
      <c r="A100" s="1" t="s">
        <v>127</v>
      </c>
      <c r="B100" s="1" t="s">
        <v>126</v>
      </c>
      <c r="C100" s="3">
        <v>2.5962540000000001</v>
      </c>
      <c r="D100" s="3">
        <v>2.4436429999999998</v>
      </c>
      <c r="E100" s="3">
        <v>2.7488649999999999</v>
      </c>
      <c r="F100" s="2">
        <v>97</v>
      </c>
      <c r="G100" s="2">
        <v>79</v>
      </c>
      <c r="H100" s="2">
        <v>113</v>
      </c>
      <c r="I100" s="3">
        <f>(C100-1)*100/($C$4-1)</f>
        <v>49.481411310159103</v>
      </c>
      <c r="J100" s="3">
        <v>2.6923080000000001</v>
      </c>
      <c r="K100" s="2">
        <v>67</v>
      </c>
      <c r="L100" s="3">
        <v>2.607002</v>
      </c>
      <c r="M100" s="2">
        <v>77</v>
      </c>
      <c r="N100" s="3">
        <v>2.2830819999999998</v>
      </c>
      <c r="O100" s="2">
        <v>140</v>
      </c>
      <c r="P100" s="3">
        <v>2.5236689999999999</v>
      </c>
      <c r="Q100" s="2">
        <v>99</v>
      </c>
      <c r="R100" s="3">
        <v>2.555809</v>
      </c>
      <c r="S100" s="2">
        <v>95</v>
      </c>
      <c r="T100" s="3">
        <v>2.9403350000000001</v>
      </c>
      <c r="U100" s="2">
        <v>103</v>
      </c>
    </row>
    <row r="101" spans="1:21" x14ac:dyDescent="0.2">
      <c r="A101" s="1" t="s">
        <v>125</v>
      </c>
      <c r="B101" s="1" t="s">
        <v>124</v>
      </c>
      <c r="C101" s="3">
        <v>2.5791400000000002</v>
      </c>
      <c r="D101" s="3">
        <v>2.3121719999999999</v>
      </c>
      <c r="E101" s="3">
        <v>2.8461069999999999</v>
      </c>
      <c r="F101" s="2">
        <v>98</v>
      </c>
      <c r="G101" s="2">
        <v>72</v>
      </c>
      <c r="H101" s="2">
        <v>136</v>
      </c>
      <c r="I101" s="3">
        <f>(C101-1)*100/($C$4-1)</f>
        <v>48.950903713522187</v>
      </c>
      <c r="J101" s="3">
        <v>2.632571</v>
      </c>
      <c r="K101" s="2">
        <v>75</v>
      </c>
      <c r="L101" s="3">
        <v>2.3641200000000002</v>
      </c>
      <c r="M101" s="2">
        <v>98</v>
      </c>
      <c r="N101" s="3">
        <v>2.5761500000000002</v>
      </c>
      <c r="O101" s="2">
        <v>98</v>
      </c>
      <c r="P101" s="3">
        <v>2.6049340000000001</v>
      </c>
      <c r="Q101" s="2">
        <v>88</v>
      </c>
      <c r="R101" s="3">
        <v>2.4382670000000002</v>
      </c>
      <c r="S101" s="2">
        <v>113</v>
      </c>
      <c r="T101" s="3">
        <v>2.8194720000000002</v>
      </c>
      <c r="U101" s="2">
        <v>115</v>
      </c>
    </row>
    <row r="102" spans="1:21" x14ac:dyDescent="0.2">
      <c r="A102" s="1" t="s">
        <v>123</v>
      </c>
      <c r="B102" s="1" t="s">
        <v>122</v>
      </c>
      <c r="C102" s="3">
        <v>2.5708639999999998</v>
      </c>
      <c r="D102" s="3">
        <v>2.467765</v>
      </c>
      <c r="E102" s="3">
        <v>2.673962</v>
      </c>
      <c r="F102" s="2">
        <v>99</v>
      </c>
      <c r="G102" s="2">
        <v>85</v>
      </c>
      <c r="H102" s="2">
        <v>111</v>
      </c>
      <c r="I102" s="3">
        <f>(C102-1)*100/($C$4-1)</f>
        <v>48.694360481678821</v>
      </c>
      <c r="J102" s="3">
        <v>2.0064289999999998</v>
      </c>
      <c r="K102" s="2">
        <v>141</v>
      </c>
      <c r="L102" s="3">
        <v>2.4295230000000001</v>
      </c>
      <c r="M102" s="2">
        <v>94</v>
      </c>
      <c r="N102" s="3">
        <v>2.450475</v>
      </c>
      <c r="O102" s="2">
        <v>115</v>
      </c>
      <c r="P102" s="3">
        <v>2.760561</v>
      </c>
      <c r="Q102" s="2">
        <v>72</v>
      </c>
      <c r="R102" s="3">
        <v>2.6154480000000002</v>
      </c>
      <c r="S102" s="2">
        <v>90</v>
      </c>
      <c r="T102" s="3">
        <v>3.1536900000000001</v>
      </c>
      <c r="U102" s="2">
        <v>87</v>
      </c>
    </row>
    <row r="103" spans="1:21" x14ac:dyDescent="0.2">
      <c r="A103" s="1" t="s">
        <v>121</v>
      </c>
      <c r="B103" s="1" t="s">
        <v>120</v>
      </c>
      <c r="C103" s="3">
        <v>2.5619510000000001</v>
      </c>
      <c r="D103" s="3">
        <v>2.366088</v>
      </c>
      <c r="E103" s="3">
        <v>2.7578149999999999</v>
      </c>
      <c r="F103" s="2">
        <v>100</v>
      </c>
      <c r="G103" s="2">
        <v>77</v>
      </c>
      <c r="H103" s="2">
        <v>128</v>
      </c>
      <c r="I103" s="3">
        <f>(C103-1)*100/($C$4-1)</f>
        <v>48.418071232594755</v>
      </c>
      <c r="J103" s="3">
        <v>2.5874130000000002</v>
      </c>
      <c r="K103" s="2">
        <v>81</v>
      </c>
      <c r="L103" s="3">
        <v>2.2224189999999999</v>
      </c>
      <c r="M103" s="2">
        <v>121</v>
      </c>
      <c r="N103" s="3">
        <v>2.6309499999999999</v>
      </c>
      <c r="O103" s="2">
        <v>91</v>
      </c>
      <c r="P103" s="3">
        <v>2.4976919999999998</v>
      </c>
      <c r="Q103" s="2">
        <v>100</v>
      </c>
      <c r="R103" s="3">
        <v>2.3455539999999999</v>
      </c>
      <c r="S103" s="2">
        <v>121</v>
      </c>
      <c r="T103" s="3">
        <v>3.0169389999999998</v>
      </c>
      <c r="U103" s="2">
        <v>98</v>
      </c>
    </row>
    <row r="104" spans="1:21" x14ac:dyDescent="0.2">
      <c r="A104" s="1" t="s">
        <v>119</v>
      </c>
      <c r="B104" s="1" t="s">
        <v>118</v>
      </c>
      <c r="C104" s="3">
        <v>2.561337</v>
      </c>
      <c r="D104" s="3">
        <v>2.2685379999999999</v>
      </c>
      <c r="E104" s="3">
        <v>2.8541370000000001</v>
      </c>
      <c r="F104" s="2">
        <v>101</v>
      </c>
      <c r="G104" s="2">
        <v>72</v>
      </c>
      <c r="H104" s="2">
        <v>136</v>
      </c>
      <c r="I104" s="3">
        <f>(C104-1)*100/($C$4-1)</f>
        <v>48.399038179869791</v>
      </c>
      <c r="J104" s="3">
        <v>2.3841269999999999</v>
      </c>
      <c r="K104" s="2">
        <v>103</v>
      </c>
      <c r="L104" s="3">
        <v>2.445662</v>
      </c>
      <c r="M104" s="2">
        <v>92</v>
      </c>
      <c r="N104" s="3">
        <v>2.5809519999999999</v>
      </c>
      <c r="O104" s="2">
        <v>96</v>
      </c>
      <c r="P104" s="3">
        <v>2.6880229999999998</v>
      </c>
      <c r="Q104" s="2">
        <v>78</v>
      </c>
      <c r="R104" s="3">
        <v>2.2981889999999998</v>
      </c>
      <c r="S104" s="2">
        <v>126</v>
      </c>
      <c r="T104" s="3">
        <v>2.9279259999999998</v>
      </c>
      <c r="U104" s="2">
        <v>107</v>
      </c>
    </row>
    <row r="105" spans="1:21" x14ac:dyDescent="0.2">
      <c r="A105" s="1" t="s">
        <v>117</v>
      </c>
      <c r="B105" s="1" t="s">
        <v>116</v>
      </c>
      <c r="C105" s="3">
        <v>2.5310619999999999</v>
      </c>
      <c r="D105" s="3">
        <v>2.310451</v>
      </c>
      <c r="E105" s="3">
        <v>2.751674</v>
      </c>
      <c r="F105" s="2">
        <v>102</v>
      </c>
      <c r="G105" s="2">
        <v>78</v>
      </c>
      <c r="H105" s="2">
        <v>136</v>
      </c>
      <c r="I105" s="3">
        <f>(C105-1)*100/($C$4-1)</f>
        <v>47.46055988793438</v>
      </c>
      <c r="J105" s="3">
        <v>2.4806240000000002</v>
      </c>
      <c r="K105" s="2">
        <v>90</v>
      </c>
      <c r="L105" s="3">
        <v>2.4993300000000001</v>
      </c>
      <c r="M105" s="2">
        <v>83</v>
      </c>
      <c r="N105" s="3">
        <v>2.502535</v>
      </c>
      <c r="O105" s="2">
        <v>107</v>
      </c>
      <c r="P105" s="3">
        <v>2.545703</v>
      </c>
      <c r="Q105" s="2">
        <v>96</v>
      </c>
      <c r="R105" s="3">
        <v>2.4733049999999999</v>
      </c>
      <c r="S105" s="2">
        <v>107</v>
      </c>
      <c r="T105" s="3">
        <v>2.6770149999999999</v>
      </c>
      <c r="U105" s="2">
        <v>134</v>
      </c>
    </row>
    <row r="106" spans="1:21" x14ac:dyDescent="0.2">
      <c r="A106" s="1" t="s">
        <v>115</v>
      </c>
      <c r="B106" s="1" t="s">
        <v>114</v>
      </c>
      <c r="C106" s="3">
        <v>2.530408</v>
      </c>
      <c r="D106" s="3">
        <v>2.3647070000000001</v>
      </c>
      <c r="E106" s="3">
        <v>2.6961089999999999</v>
      </c>
      <c r="F106" s="2">
        <v>103</v>
      </c>
      <c r="G106" s="2">
        <v>84</v>
      </c>
      <c r="H106" s="2">
        <v>128</v>
      </c>
      <c r="I106" s="3">
        <f>(C106-1)*100/($C$4-1)</f>
        <v>47.440286896921137</v>
      </c>
      <c r="J106" s="3">
        <v>2.2341060000000001</v>
      </c>
      <c r="K106" s="2">
        <v>122</v>
      </c>
      <c r="L106" s="3">
        <v>2.2016939999999998</v>
      </c>
      <c r="M106" s="2">
        <v>126</v>
      </c>
      <c r="N106" s="3">
        <v>2.5677129999999999</v>
      </c>
      <c r="O106" s="2">
        <v>100</v>
      </c>
      <c r="P106" s="3">
        <v>2.3609650000000002</v>
      </c>
      <c r="Q106" s="2">
        <v>118</v>
      </c>
      <c r="R106" s="3">
        <v>2.4851540000000001</v>
      </c>
      <c r="S106" s="2">
        <v>104</v>
      </c>
      <c r="T106" s="3">
        <v>3.2758660000000002</v>
      </c>
      <c r="U106" s="2">
        <v>75</v>
      </c>
    </row>
    <row r="107" spans="1:21" x14ac:dyDescent="0.2">
      <c r="A107" s="1" t="s">
        <v>113</v>
      </c>
      <c r="B107" s="1" t="s">
        <v>112</v>
      </c>
      <c r="C107" s="3">
        <v>2.513077</v>
      </c>
      <c r="D107" s="3">
        <v>2.2959329999999998</v>
      </c>
      <c r="E107" s="3">
        <v>2.7302209999999998</v>
      </c>
      <c r="F107" s="2">
        <v>104</v>
      </c>
      <c r="G107" s="2">
        <v>82</v>
      </c>
      <c r="H107" s="2">
        <v>136</v>
      </c>
      <c r="I107" s="3">
        <f>(C107-1)*100/($C$4-1)</f>
        <v>46.90305263507036</v>
      </c>
      <c r="J107" s="3">
        <v>2.3874520000000001</v>
      </c>
      <c r="K107" s="2">
        <v>102</v>
      </c>
      <c r="L107" s="3">
        <v>2.5676350000000001</v>
      </c>
      <c r="M107" s="2">
        <v>81</v>
      </c>
      <c r="N107" s="3">
        <v>2.3361559999999999</v>
      </c>
      <c r="O107" s="2">
        <v>132</v>
      </c>
      <c r="P107" s="3">
        <v>2.436842</v>
      </c>
      <c r="Q107" s="2">
        <v>111</v>
      </c>
      <c r="R107" s="3">
        <v>2.4888439999999998</v>
      </c>
      <c r="S107" s="2">
        <v>102</v>
      </c>
      <c r="T107" s="3">
        <v>2.8777159999999999</v>
      </c>
      <c r="U107" s="2">
        <v>110</v>
      </c>
    </row>
    <row r="108" spans="1:21" x14ac:dyDescent="0.2">
      <c r="A108" s="1" t="s">
        <v>111</v>
      </c>
      <c r="B108" s="1" t="s">
        <v>110</v>
      </c>
      <c r="C108" s="3">
        <v>2.510624</v>
      </c>
      <c r="D108" s="3">
        <v>2.2196410000000002</v>
      </c>
      <c r="E108" s="3">
        <v>2.8016070000000002</v>
      </c>
      <c r="F108" s="2">
        <v>105</v>
      </c>
      <c r="G108" s="2">
        <v>73</v>
      </c>
      <c r="H108" s="2">
        <v>139</v>
      </c>
      <c r="I108" s="3">
        <f>(C108-1)*100/($C$4-1)</f>
        <v>46.827013419542112</v>
      </c>
      <c r="J108" s="3">
        <v>2.5504500000000001</v>
      </c>
      <c r="K108" s="2">
        <v>85</v>
      </c>
      <c r="L108" s="3">
        <v>2.3226110000000002</v>
      </c>
      <c r="M108" s="2">
        <v>106</v>
      </c>
      <c r="N108" s="3">
        <v>2.4588739999999998</v>
      </c>
      <c r="O108" s="2">
        <v>114</v>
      </c>
      <c r="P108" s="3">
        <v>2.3546900000000002</v>
      </c>
      <c r="Q108" s="2">
        <v>121</v>
      </c>
      <c r="R108" s="3">
        <v>2.5813739999999998</v>
      </c>
      <c r="S108" s="2">
        <v>93</v>
      </c>
      <c r="T108" s="3">
        <v>2.7816160000000001</v>
      </c>
      <c r="U108" s="2">
        <v>120</v>
      </c>
    </row>
    <row r="109" spans="1:21" x14ac:dyDescent="0.2">
      <c r="A109" s="1" t="s">
        <v>109</v>
      </c>
      <c r="B109" s="1" t="s">
        <v>108</v>
      </c>
      <c r="C109" s="3">
        <v>2.510262</v>
      </c>
      <c r="D109" s="3">
        <v>2.3091569999999999</v>
      </c>
      <c r="E109" s="3">
        <v>2.7113659999999999</v>
      </c>
      <c r="F109" s="2">
        <v>106</v>
      </c>
      <c r="G109" s="2">
        <v>83</v>
      </c>
      <c r="H109" s="2">
        <v>136</v>
      </c>
      <c r="I109" s="3">
        <f>(C109-1)*100/($C$4-1)</f>
        <v>46.815791978033253</v>
      </c>
      <c r="J109" s="3">
        <v>2.2115550000000002</v>
      </c>
      <c r="K109" s="2">
        <v>127</v>
      </c>
      <c r="L109" s="3">
        <v>2.5811449999999998</v>
      </c>
      <c r="M109" s="2">
        <v>79</v>
      </c>
      <c r="N109" s="3">
        <v>2.4478119999999999</v>
      </c>
      <c r="O109" s="2">
        <v>116</v>
      </c>
      <c r="P109" s="3">
        <v>2.3572540000000002</v>
      </c>
      <c r="Q109" s="2">
        <v>120</v>
      </c>
      <c r="R109" s="3">
        <v>2.3220879999999999</v>
      </c>
      <c r="S109" s="2">
        <v>123</v>
      </c>
      <c r="T109" s="3">
        <v>3.1293980000000001</v>
      </c>
      <c r="U109" s="2">
        <v>89</v>
      </c>
    </row>
    <row r="110" spans="1:21" x14ac:dyDescent="0.2">
      <c r="A110" s="1" t="s">
        <v>107</v>
      </c>
      <c r="B110" s="1" t="s">
        <v>106</v>
      </c>
      <c r="C110" s="3">
        <v>2.509776</v>
      </c>
      <c r="D110" s="3">
        <v>2.2792080000000001</v>
      </c>
      <c r="E110" s="3">
        <v>2.7403439999999999</v>
      </c>
      <c r="F110" s="2">
        <v>107</v>
      </c>
      <c r="G110" s="2">
        <v>80</v>
      </c>
      <c r="H110" s="2">
        <v>136</v>
      </c>
      <c r="I110" s="3">
        <f>(C110-1)*100/($C$4-1)</f>
        <v>46.800726727830757</v>
      </c>
      <c r="J110" s="3">
        <v>2.0169760000000001</v>
      </c>
      <c r="K110" s="2">
        <v>137</v>
      </c>
      <c r="L110" s="3">
        <v>1.98495</v>
      </c>
      <c r="M110" s="2">
        <v>147</v>
      </c>
      <c r="N110" s="3">
        <v>2.41805</v>
      </c>
      <c r="O110" s="2">
        <v>119</v>
      </c>
      <c r="P110" s="3">
        <v>2.461408</v>
      </c>
      <c r="Q110" s="2">
        <v>107</v>
      </c>
      <c r="R110" s="3">
        <v>2.677575</v>
      </c>
      <c r="S110" s="2">
        <v>83</v>
      </c>
      <c r="T110" s="3">
        <v>3.4494039999999999</v>
      </c>
      <c r="U110" s="2">
        <v>63</v>
      </c>
    </row>
    <row r="111" spans="1:21" x14ac:dyDescent="0.2">
      <c r="A111" s="1" t="s">
        <v>105</v>
      </c>
      <c r="B111" s="1" t="s">
        <v>104</v>
      </c>
      <c r="C111" s="3">
        <v>2.5060560000000001</v>
      </c>
      <c r="D111" s="3">
        <v>2.3102749999999999</v>
      </c>
      <c r="E111" s="3">
        <v>2.7018360000000001</v>
      </c>
      <c r="F111" s="2">
        <v>108</v>
      </c>
      <c r="G111" s="2">
        <v>84</v>
      </c>
      <c r="H111" s="2">
        <v>136</v>
      </c>
      <c r="I111" s="3">
        <f>(C111-1)*100/($C$4-1)</f>
        <v>46.685412467021521</v>
      </c>
      <c r="J111" s="3">
        <v>2.392385</v>
      </c>
      <c r="K111" s="2">
        <v>100</v>
      </c>
      <c r="L111" s="3">
        <v>2.051282</v>
      </c>
      <c r="M111" s="2">
        <v>140</v>
      </c>
      <c r="N111" s="3">
        <v>2.365151</v>
      </c>
      <c r="O111" s="2">
        <v>129</v>
      </c>
      <c r="P111" s="3">
        <v>2.3073039999999998</v>
      </c>
      <c r="Q111" s="2">
        <v>129</v>
      </c>
      <c r="R111" s="3">
        <v>2.4679489999999999</v>
      </c>
      <c r="S111" s="2">
        <v>108</v>
      </c>
      <c r="T111" s="3">
        <v>3.3982130000000002</v>
      </c>
      <c r="U111" s="2">
        <v>65</v>
      </c>
    </row>
    <row r="112" spans="1:21" x14ac:dyDescent="0.2">
      <c r="A112" s="1" t="s">
        <v>103</v>
      </c>
      <c r="B112" s="1" t="s">
        <v>102</v>
      </c>
      <c r="C112" s="3">
        <v>2.5030730000000001</v>
      </c>
      <c r="D112" s="3">
        <v>2.2806829999999998</v>
      </c>
      <c r="E112" s="3">
        <v>2.7254619999999998</v>
      </c>
      <c r="F112" s="2">
        <v>109</v>
      </c>
      <c r="G112" s="2">
        <v>82</v>
      </c>
      <c r="H112" s="2">
        <v>136</v>
      </c>
      <c r="I112" s="3">
        <f>(C112-1)*100/($C$4-1)</f>
        <v>46.592944069173676</v>
      </c>
      <c r="J112" s="3">
        <v>2.4462830000000002</v>
      </c>
      <c r="K112" s="2">
        <v>94</v>
      </c>
      <c r="L112" s="3">
        <v>2.2992309999999998</v>
      </c>
      <c r="M112" s="2">
        <v>109</v>
      </c>
      <c r="N112" s="3">
        <v>2.478704</v>
      </c>
      <c r="O112" s="2">
        <v>112</v>
      </c>
      <c r="P112" s="3">
        <v>2.464359</v>
      </c>
      <c r="Q112" s="2">
        <v>105</v>
      </c>
      <c r="R112" s="3">
        <v>2.3627950000000002</v>
      </c>
      <c r="S112" s="2">
        <v>120</v>
      </c>
      <c r="T112" s="3">
        <v>2.928013</v>
      </c>
      <c r="U112" s="2">
        <v>106</v>
      </c>
    </row>
    <row r="113" spans="1:21" x14ac:dyDescent="0.2">
      <c r="A113" s="1" t="s">
        <v>101</v>
      </c>
      <c r="B113" s="1" t="s">
        <v>100</v>
      </c>
      <c r="C113" s="3">
        <v>2.4966879999999998</v>
      </c>
      <c r="D113" s="3">
        <v>2.2118980000000001</v>
      </c>
      <c r="E113" s="3">
        <v>2.7814770000000002</v>
      </c>
      <c r="F113" s="2">
        <v>110</v>
      </c>
      <c r="G113" s="2">
        <v>74</v>
      </c>
      <c r="H113" s="2">
        <v>139</v>
      </c>
      <c r="I113" s="3">
        <f>(C113-1)*100/($C$4-1)</f>
        <v>46.395018919908352</v>
      </c>
      <c r="J113" s="3">
        <v>1.963889</v>
      </c>
      <c r="K113" s="2">
        <v>147</v>
      </c>
      <c r="L113" s="3">
        <v>2.4444439999999998</v>
      </c>
      <c r="M113" s="2">
        <v>93</v>
      </c>
      <c r="N113" s="3">
        <v>2.3333330000000001</v>
      </c>
      <c r="O113" s="2">
        <v>133</v>
      </c>
      <c r="P113" s="3">
        <v>2.588889</v>
      </c>
      <c r="Q113" s="2">
        <v>90</v>
      </c>
      <c r="R113" s="3">
        <v>2.6666669999999999</v>
      </c>
      <c r="S113" s="2">
        <v>84</v>
      </c>
      <c r="T113" s="3">
        <v>3</v>
      </c>
      <c r="U113" s="2">
        <v>99</v>
      </c>
    </row>
    <row r="114" spans="1:21" x14ac:dyDescent="0.2">
      <c r="A114" s="1" t="s">
        <v>99</v>
      </c>
      <c r="B114" s="1" t="s">
        <v>98</v>
      </c>
      <c r="C114" s="3">
        <v>2.4763269999999999</v>
      </c>
      <c r="D114" s="3">
        <v>2.2781630000000002</v>
      </c>
      <c r="E114" s="3">
        <v>2.6744919999999999</v>
      </c>
      <c r="F114" s="2">
        <v>111</v>
      </c>
      <c r="G114" s="2">
        <v>85</v>
      </c>
      <c r="H114" s="2">
        <v>136</v>
      </c>
      <c r="I114" s="3">
        <f>(C114-1)*100/($C$4-1)</f>
        <v>45.763859332721012</v>
      </c>
      <c r="J114" s="3">
        <v>2.4718270000000002</v>
      </c>
      <c r="K114" s="2">
        <v>91</v>
      </c>
      <c r="L114" s="3">
        <v>2.2013500000000001</v>
      </c>
      <c r="M114" s="2">
        <v>127</v>
      </c>
      <c r="N114" s="3">
        <v>2.4124680000000001</v>
      </c>
      <c r="O114" s="2">
        <v>120</v>
      </c>
      <c r="P114" s="3">
        <v>2.2971569999999999</v>
      </c>
      <c r="Q114" s="2">
        <v>130</v>
      </c>
      <c r="R114" s="3">
        <v>2.4568759999999998</v>
      </c>
      <c r="S114" s="2">
        <v>110</v>
      </c>
      <c r="T114" s="3">
        <v>2.9841579999999999</v>
      </c>
      <c r="U114" s="2">
        <v>100</v>
      </c>
    </row>
    <row r="115" spans="1:21" x14ac:dyDescent="0.2">
      <c r="A115" s="1" t="s">
        <v>97</v>
      </c>
      <c r="B115" s="1" t="s">
        <v>96</v>
      </c>
      <c r="C115" s="3">
        <v>2.462812</v>
      </c>
      <c r="D115" s="3">
        <v>2.254721</v>
      </c>
      <c r="E115" s="3">
        <v>2.6709019999999999</v>
      </c>
      <c r="F115" s="2">
        <v>112</v>
      </c>
      <c r="G115" s="2">
        <v>85</v>
      </c>
      <c r="H115" s="2">
        <v>137</v>
      </c>
      <c r="I115" s="3">
        <f>(C115-1)*100/($C$4-1)</f>
        <v>45.344915183571324</v>
      </c>
      <c r="J115" s="3">
        <v>2.2123499999999998</v>
      </c>
      <c r="K115" s="2">
        <v>126</v>
      </c>
      <c r="L115" s="3">
        <v>2.0397500000000002</v>
      </c>
      <c r="M115" s="2">
        <v>143</v>
      </c>
      <c r="N115" s="3">
        <v>2.5790000000000002</v>
      </c>
      <c r="O115" s="2">
        <v>97</v>
      </c>
      <c r="P115" s="3">
        <v>2.4411429999999998</v>
      </c>
      <c r="Q115" s="2">
        <v>110</v>
      </c>
      <c r="R115" s="3">
        <v>2.5325709999999999</v>
      </c>
      <c r="S115" s="2">
        <v>99</v>
      </c>
      <c r="T115" s="3">
        <v>2.911381</v>
      </c>
      <c r="U115" s="2">
        <v>108</v>
      </c>
    </row>
    <row r="116" spans="1:21" x14ac:dyDescent="0.2">
      <c r="A116" s="1" t="s">
        <v>95</v>
      </c>
      <c r="B116" s="1" t="s">
        <v>94</v>
      </c>
      <c r="C116" s="3">
        <v>2.4585710000000001</v>
      </c>
      <c r="D116" s="3">
        <v>2.2607430000000002</v>
      </c>
      <c r="E116" s="3">
        <v>2.6563979999999998</v>
      </c>
      <c r="F116" s="2">
        <v>113</v>
      </c>
      <c r="G116" s="2">
        <v>89</v>
      </c>
      <c r="H116" s="2">
        <v>137</v>
      </c>
      <c r="I116" s="3">
        <f>(C116-1)*100/($C$4-1)</f>
        <v>45.21345072655734</v>
      </c>
      <c r="J116" s="3">
        <v>2.4285709999999998</v>
      </c>
      <c r="K116" s="2">
        <v>96</v>
      </c>
      <c r="L116" s="3">
        <v>2.3295919999999999</v>
      </c>
      <c r="M116" s="2">
        <v>105</v>
      </c>
      <c r="N116" s="3">
        <v>2.2295919999999998</v>
      </c>
      <c r="O116" s="2">
        <v>144</v>
      </c>
      <c r="P116" s="3">
        <v>2.3584200000000002</v>
      </c>
      <c r="Q116" s="2">
        <v>119</v>
      </c>
      <c r="R116" s="3">
        <v>2.568946</v>
      </c>
      <c r="S116" s="2">
        <v>94</v>
      </c>
      <c r="T116" s="3">
        <v>2.848624</v>
      </c>
      <c r="U116" s="2">
        <v>112</v>
      </c>
    </row>
    <row r="117" spans="1:21" x14ac:dyDescent="0.2">
      <c r="A117" s="1" t="s">
        <v>93</v>
      </c>
      <c r="B117" s="1" t="s">
        <v>92</v>
      </c>
      <c r="C117" s="3">
        <v>2.4298129999999998</v>
      </c>
      <c r="D117" s="3">
        <v>2.255557</v>
      </c>
      <c r="E117" s="3">
        <v>2.604069</v>
      </c>
      <c r="F117" s="2">
        <v>114</v>
      </c>
      <c r="G117" s="2">
        <v>95</v>
      </c>
      <c r="H117" s="2">
        <v>137</v>
      </c>
      <c r="I117" s="3">
        <f>(C117-1)*100/($C$4-1)</f>
        <v>44.321997094204619</v>
      </c>
      <c r="J117" s="3">
        <v>2.246019</v>
      </c>
      <c r="K117" s="2">
        <v>119</v>
      </c>
      <c r="L117" s="3">
        <v>2.2627709999999999</v>
      </c>
      <c r="M117" s="2">
        <v>113</v>
      </c>
      <c r="N117" s="3">
        <v>2.5147089999999999</v>
      </c>
      <c r="O117" s="2">
        <v>106</v>
      </c>
      <c r="P117" s="3">
        <v>2.4154930000000001</v>
      </c>
      <c r="Q117" s="2">
        <v>114</v>
      </c>
      <c r="R117" s="3">
        <v>2.3631549999999999</v>
      </c>
      <c r="S117" s="2">
        <v>119</v>
      </c>
      <c r="T117" s="3">
        <v>2.73847</v>
      </c>
      <c r="U117" s="2">
        <v>124</v>
      </c>
    </row>
    <row r="118" spans="1:21" x14ac:dyDescent="0.2">
      <c r="A118" s="1" t="s">
        <v>91</v>
      </c>
      <c r="B118" s="1" t="s">
        <v>90</v>
      </c>
      <c r="C118" s="3">
        <v>2.4281250000000001</v>
      </c>
      <c r="D118" s="3">
        <v>2.2652950000000001</v>
      </c>
      <c r="E118" s="3">
        <v>2.5909559999999998</v>
      </c>
      <c r="F118" s="2">
        <v>115</v>
      </c>
      <c r="G118" s="2">
        <v>98</v>
      </c>
      <c r="H118" s="2">
        <v>136</v>
      </c>
      <c r="I118" s="3">
        <f>(C118-1)*100/($C$4-1)</f>
        <v>44.269671698439574</v>
      </c>
      <c r="J118" s="3">
        <v>2.1971500000000002</v>
      </c>
      <c r="K118" s="2">
        <v>130</v>
      </c>
      <c r="L118" s="3">
        <v>2.3914740000000001</v>
      </c>
      <c r="M118" s="2">
        <v>97</v>
      </c>
      <c r="N118" s="3">
        <v>2.5492309999999998</v>
      </c>
      <c r="O118" s="2">
        <v>104</v>
      </c>
      <c r="P118" s="3">
        <v>2.471603</v>
      </c>
      <c r="Q118" s="2">
        <v>104</v>
      </c>
      <c r="R118" s="3">
        <v>2.230769</v>
      </c>
      <c r="S118" s="2">
        <v>129</v>
      </c>
      <c r="T118" s="3">
        <v>2.6906620000000001</v>
      </c>
      <c r="U118" s="2">
        <v>130</v>
      </c>
    </row>
    <row r="119" spans="1:21" x14ac:dyDescent="0.2">
      <c r="A119" s="1" t="s">
        <v>89</v>
      </c>
      <c r="B119" s="1" t="s">
        <v>88</v>
      </c>
      <c r="C119" s="3">
        <v>2.4173209999999998</v>
      </c>
      <c r="D119" s="3">
        <v>2.1648589999999999</v>
      </c>
      <c r="E119" s="3">
        <v>2.6697829999999998</v>
      </c>
      <c r="F119" s="2">
        <v>116</v>
      </c>
      <c r="G119" s="2">
        <v>85</v>
      </c>
      <c r="H119" s="2">
        <v>144</v>
      </c>
      <c r="I119" s="3">
        <f>(C119-1)*100/($C$4-1)</f>
        <v>43.934764366777458</v>
      </c>
      <c r="J119" s="3">
        <v>2.6</v>
      </c>
      <c r="K119" s="2">
        <v>79</v>
      </c>
      <c r="L119" s="3">
        <v>2.2071800000000001</v>
      </c>
      <c r="M119" s="2">
        <v>124</v>
      </c>
      <c r="N119" s="3">
        <v>2.284103</v>
      </c>
      <c r="O119" s="2">
        <v>139</v>
      </c>
      <c r="P119" s="3">
        <v>2.4314529999999999</v>
      </c>
      <c r="Q119" s="2">
        <v>112</v>
      </c>
      <c r="R119" s="3">
        <v>2.1814529999999999</v>
      </c>
      <c r="S119" s="2">
        <v>132</v>
      </c>
      <c r="T119" s="3">
        <v>2.764786</v>
      </c>
      <c r="U119" s="2">
        <v>121</v>
      </c>
    </row>
    <row r="120" spans="1:21" x14ac:dyDescent="0.2">
      <c r="A120" s="1" t="s">
        <v>87</v>
      </c>
      <c r="B120" s="1" t="s">
        <v>86</v>
      </c>
      <c r="C120" s="3">
        <v>2.4124979999999998</v>
      </c>
      <c r="D120" s="3">
        <v>2.2218230000000001</v>
      </c>
      <c r="E120" s="3">
        <v>2.6031740000000001</v>
      </c>
      <c r="F120" s="2">
        <v>117</v>
      </c>
      <c r="G120" s="2">
        <v>95</v>
      </c>
      <c r="H120" s="2">
        <v>139</v>
      </c>
      <c r="I120" s="3">
        <f>(C120-1)*100/($C$4-1)</f>
        <v>43.785258807669145</v>
      </c>
      <c r="J120" s="3">
        <v>2.234391</v>
      </c>
      <c r="K120" s="2">
        <v>121</v>
      </c>
      <c r="L120" s="3">
        <v>1.980952</v>
      </c>
      <c r="M120" s="2">
        <v>148</v>
      </c>
      <c r="N120" s="3">
        <v>2.4848330000000001</v>
      </c>
      <c r="O120" s="2">
        <v>110</v>
      </c>
      <c r="P120" s="3">
        <v>2.4848330000000001</v>
      </c>
      <c r="Q120" s="2">
        <v>102</v>
      </c>
      <c r="R120" s="3">
        <v>2.1514989999999998</v>
      </c>
      <c r="S120" s="2">
        <v>135</v>
      </c>
      <c r="T120" s="3">
        <v>3.0504760000000002</v>
      </c>
      <c r="U120" s="2">
        <v>94</v>
      </c>
    </row>
    <row r="121" spans="1:21" x14ac:dyDescent="0.2">
      <c r="A121" s="1" t="s">
        <v>85</v>
      </c>
      <c r="B121" s="1" t="s">
        <v>84</v>
      </c>
      <c r="C121" s="3">
        <v>2.404525</v>
      </c>
      <c r="D121" s="3">
        <v>2.1586460000000001</v>
      </c>
      <c r="E121" s="3">
        <v>2.650404</v>
      </c>
      <c r="F121" s="2">
        <v>118</v>
      </c>
      <c r="G121" s="2">
        <v>89</v>
      </c>
      <c r="H121" s="2">
        <v>145</v>
      </c>
      <c r="I121" s="3">
        <f>(C121-1)*100/($C$4-1)</f>
        <v>43.538108108359452</v>
      </c>
      <c r="J121" s="3">
        <v>2.3189739999999999</v>
      </c>
      <c r="K121" s="2">
        <v>114</v>
      </c>
      <c r="L121" s="3">
        <v>2.4468299999999998</v>
      </c>
      <c r="M121" s="2">
        <v>91</v>
      </c>
      <c r="N121" s="3">
        <v>2.3612639999999998</v>
      </c>
      <c r="O121" s="2">
        <v>130</v>
      </c>
      <c r="P121" s="3">
        <v>2.3866130000000001</v>
      </c>
      <c r="Q121" s="2">
        <v>116</v>
      </c>
      <c r="R121" s="3">
        <v>2.05328</v>
      </c>
      <c r="S121" s="2">
        <v>143</v>
      </c>
      <c r="T121" s="3">
        <v>2.8324319999999998</v>
      </c>
      <c r="U121" s="2">
        <v>114</v>
      </c>
    </row>
    <row r="122" spans="1:21" x14ac:dyDescent="0.2">
      <c r="A122" s="1" t="s">
        <v>83</v>
      </c>
      <c r="B122" s="1" t="s">
        <v>82</v>
      </c>
      <c r="C122" s="3">
        <v>2.4002140000000001</v>
      </c>
      <c r="D122" s="3">
        <v>2.268268</v>
      </c>
      <c r="E122" s="3">
        <v>2.532159</v>
      </c>
      <c r="F122" s="2">
        <v>119</v>
      </c>
      <c r="G122" s="2">
        <v>102</v>
      </c>
      <c r="H122" s="2">
        <v>136</v>
      </c>
      <c r="I122" s="3">
        <f>(C122-1)*100/($C$4-1)</f>
        <v>43.404473759341002</v>
      </c>
      <c r="J122" s="3">
        <v>2.3661460000000001</v>
      </c>
      <c r="K122" s="2">
        <v>109</v>
      </c>
      <c r="L122" s="3">
        <v>2.23237</v>
      </c>
      <c r="M122" s="2">
        <v>120</v>
      </c>
      <c r="N122" s="3">
        <v>2.4367529999999999</v>
      </c>
      <c r="O122" s="2">
        <v>117</v>
      </c>
      <c r="P122" s="3">
        <v>2.3138290000000001</v>
      </c>
      <c r="Q122" s="2">
        <v>126</v>
      </c>
      <c r="R122" s="3">
        <v>2.3804959999999999</v>
      </c>
      <c r="S122" s="2">
        <v>116</v>
      </c>
      <c r="T122" s="3">
        <v>2.6434350000000002</v>
      </c>
      <c r="U122" s="2">
        <v>136</v>
      </c>
    </row>
    <row r="123" spans="1:21" x14ac:dyDescent="0.2">
      <c r="A123" s="1" t="s">
        <v>81</v>
      </c>
      <c r="B123" s="1" t="s">
        <v>80</v>
      </c>
      <c r="C123" s="3">
        <v>2.399232</v>
      </c>
      <c r="D123" s="3">
        <v>2.214118</v>
      </c>
      <c r="E123" s="3">
        <v>2.5843470000000002</v>
      </c>
      <c r="F123" s="2">
        <v>120</v>
      </c>
      <c r="G123" s="2">
        <v>98</v>
      </c>
      <c r="H123" s="2">
        <v>139</v>
      </c>
      <c r="I123" s="3">
        <f>(C123-1)*100/($C$4-1)</f>
        <v>43.374033274363939</v>
      </c>
      <c r="J123" s="3">
        <v>2.062392</v>
      </c>
      <c r="K123" s="2">
        <v>136</v>
      </c>
      <c r="L123" s="3">
        <v>2.0996839999999999</v>
      </c>
      <c r="M123" s="2">
        <v>135</v>
      </c>
      <c r="N123" s="3">
        <v>2.6240410000000001</v>
      </c>
      <c r="O123" s="2">
        <v>92</v>
      </c>
      <c r="P123" s="3">
        <v>2.316265</v>
      </c>
      <c r="Q123" s="2">
        <v>125</v>
      </c>
      <c r="R123" s="3">
        <v>2.1645840000000001</v>
      </c>
      <c r="S123" s="2">
        <v>134</v>
      </c>
      <c r="T123" s="3">
        <v>3.0409229999999998</v>
      </c>
      <c r="U123" s="2">
        <v>96</v>
      </c>
    </row>
    <row r="124" spans="1:21" x14ac:dyDescent="0.2">
      <c r="A124" s="1" t="s">
        <v>79</v>
      </c>
      <c r="B124" s="1" t="s">
        <v>78</v>
      </c>
      <c r="C124" s="3">
        <v>2.3984179999999999</v>
      </c>
      <c r="D124" s="3">
        <v>2.2639659999999999</v>
      </c>
      <c r="E124" s="3">
        <v>2.5328710000000001</v>
      </c>
      <c r="F124" s="2">
        <v>121</v>
      </c>
      <c r="G124" s="2">
        <v>102</v>
      </c>
      <c r="H124" s="2">
        <v>137</v>
      </c>
      <c r="I124" s="3">
        <f>(C124-1)*100/($C$4-1)</f>
        <v>43.348800530197614</v>
      </c>
      <c r="J124" s="3">
        <v>2.3777170000000001</v>
      </c>
      <c r="K124" s="2">
        <v>104</v>
      </c>
      <c r="L124" s="3">
        <v>2.3373179999999998</v>
      </c>
      <c r="M124" s="2">
        <v>104</v>
      </c>
      <c r="N124" s="3">
        <v>2.308907</v>
      </c>
      <c r="O124" s="2">
        <v>137</v>
      </c>
      <c r="P124" s="3">
        <v>2.2838419999999999</v>
      </c>
      <c r="Q124" s="2">
        <v>132</v>
      </c>
      <c r="R124" s="3">
        <v>2.2799140000000002</v>
      </c>
      <c r="S124" s="2">
        <v>127</v>
      </c>
      <c r="T124" s="3">
        <v>2.7886760000000002</v>
      </c>
      <c r="U124" s="2">
        <v>119</v>
      </c>
    </row>
    <row r="125" spans="1:21" x14ac:dyDescent="0.2">
      <c r="A125" s="1" t="s">
        <v>77</v>
      </c>
      <c r="B125" s="1" t="s">
        <v>76</v>
      </c>
      <c r="C125" s="3">
        <v>2.3907799999999999</v>
      </c>
      <c r="D125" s="3">
        <v>2.2539950000000002</v>
      </c>
      <c r="E125" s="3">
        <v>2.5275660000000002</v>
      </c>
      <c r="F125" s="2">
        <v>122</v>
      </c>
      <c r="G125" s="2">
        <v>104</v>
      </c>
      <c r="H125" s="2">
        <v>137</v>
      </c>
      <c r="I125" s="3">
        <f>(C125-1)*100/($C$4-1)</f>
        <v>43.112034314052195</v>
      </c>
      <c r="J125" s="3">
        <v>1.985438</v>
      </c>
      <c r="K125" s="2">
        <v>145</v>
      </c>
      <c r="L125" s="3">
        <v>2.3452950000000001</v>
      </c>
      <c r="M125" s="2">
        <v>102</v>
      </c>
      <c r="N125" s="3">
        <v>2.4698579999999999</v>
      </c>
      <c r="O125" s="2">
        <v>113</v>
      </c>
      <c r="P125" s="3">
        <v>2.3414570000000001</v>
      </c>
      <c r="Q125" s="2">
        <v>122</v>
      </c>
      <c r="R125" s="3">
        <v>2.477916</v>
      </c>
      <c r="S125" s="2">
        <v>106</v>
      </c>
      <c r="T125" s="3">
        <v>2.7131050000000001</v>
      </c>
      <c r="U125" s="2">
        <v>127</v>
      </c>
    </row>
    <row r="126" spans="1:21" x14ac:dyDescent="0.2">
      <c r="A126" s="1" t="s">
        <v>75</v>
      </c>
      <c r="B126" s="1" t="s">
        <v>74</v>
      </c>
      <c r="C126" s="3">
        <v>2.3800159999999999</v>
      </c>
      <c r="D126" s="3">
        <v>2.152895</v>
      </c>
      <c r="E126" s="3">
        <v>2.6071369999999998</v>
      </c>
      <c r="F126" s="2">
        <v>123</v>
      </c>
      <c r="G126" s="2">
        <v>95</v>
      </c>
      <c r="H126" s="2">
        <v>147</v>
      </c>
      <c r="I126" s="3">
        <f>(C126-1)*100/($C$4-1)</f>
        <v>42.778366920678359</v>
      </c>
      <c r="J126" s="3">
        <v>2.215074</v>
      </c>
      <c r="K126" s="2">
        <v>125</v>
      </c>
      <c r="L126" s="3">
        <v>2.0682710000000002</v>
      </c>
      <c r="M126" s="2">
        <v>138</v>
      </c>
      <c r="N126" s="3">
        <v>2.5640100000000001</v>
      </c>
      <c r="O126" s="2">
        <v>101</v>
      </c>
      <c r="P126" s="3">
        <v>2.3113779999999999</v>
      </c>
      <c r="Q126" s="2">
        <v>127</v>
      </c>
      <c r="R126" s="3">
        <v>2.3710270000000002</v>
      </c>
      <c r="S126" s="2">
        <v>117</v>
      </c>
      <c r="T126" s="3">
        <v>2.6905030000000001</v>
      </c>
      <c r="U126" s="2">
        <v>131</v>
      </c>
    </row>
    <row r="127" spans="1:21" x14ac:dyDescent="0.2">
      <c r="A127" s="1" t="s">
        <v>73</v>
      </c>
      <c r="B127" s="1" t="s">
        <v>72</v>
      </c>
      <c r="C127" s="3">
        <v>2.3767830000000001</v>
      </c>
      <c r="D127" s="3">
        <v>2.0890819999999999</v>
      </c>
      <c r="E127" s="3">
        <v>2.664485</v>
      </c>
      <c r="F127" s="2">
        <v>124</v>
      </c>
      <c r="G127" s="2">
        <v>87</v>
      </c>
      <c r="H127" s="2">
        <v>150</v>
      </c>
      <c r="I127" s="3">
        <f>(C127-1)*100/($C$4-1)</f>
        <v>42.678148908528826</v>
      </c>
      <c r="J127" s="3">
        <v>1.933333</v>
      </c>
      <c r="K127" s="2">
        <v>149</v>
      </c>
      <c r="L127" s="3">
        <v>2.266667</v>
      </c>
      <c r="M127" s="2">
        <v>112</v>
      </c>
      <c r="N127" s="3">
        <v>2.5</v>
      </c>
      <c r="O127" s="2">
        <v>109</v>
      </c>
      <c r="P127" s="3">
        <v>2.1333329999999999</v>
      </c>
      <c r="Q127" s="2">
        <v>140</v>
      </c>
      <c r="R127" s="3">
        <v>2.4666670000000002</v>
      </c>
      <c r="S127" s="2">
        <v>109</v>
      </c>
      <c r="T127" s="3">
        <v>2.9333330000000002</v>
      </c>
      <c r="U127" s="2">
        <v>104</v>
      </c>
    </row>
    <row r="128" spans="1:21" x14ac:dyDescent="0.2">
      <c r="A128" s="1" t="s">
        <v>71</v>
      </c>
      <c r="B128" s="1" t="s">
        <v>70</v>
      </c>
      <c r="C128" s="3">
        <v>2.3767680000000002</v>
      </c>
      <c r="D128" s="3">
        <v>1.8977919999999999</v>
      </c>
      <c r="E128" s="3">
        <v>2.8557429999999999</v>
      </c>
      <c r="F128" s="2">
        <v>125</v>
      </c>
      <c r="G128" s="2">
        <v>72</v>
      </c>
      <c r="H128" s="2">
        <v>155</v>
      </c>
      <c r="I128" s="3">
        <f>(C128-1)*100/($C$4-1)</f>
        <v>42.677683931670728</v>
      </c>
      <c r="J128" s="3">
        <v>2</v>
      </c>
      <c r="K128" s="2">
        <v>142</v>
      </c>
      <c r="L128" s="3">
        <v>2.5959599999999998</v>
      </c>
      <c r="M128" s="2">
        <v>78</v>
      </c>
      <c r="N128" s="3">
        <v>2.3737370000000002</v>
      </c>
      <c r="O128" s="2">
        <v>126</v>
      </c>
      <c r="P128" s="3">
        <v>2.262626</v>
      </c>
      <c r="Q128" s="2">
        <v>133</v>
      </c>
      <c r="R128" s="3">
        <v>2.4848479999999999</v>
      </c>
      <c r="S128" s="2">
        <v>105</v>
      </c>
      <c r="T128" s="3">
        <v>2.5734490000000001</v>
      </c>
      <c r="U128" s="2">
        <v>143</v>
      </c>
    </row>
    <row r="129" spans="1:21" x14ac:dyDescent="0.2">
      <c r="A129" s="1" t="s">
        <v>69</v>
      </c>
      <c r="B129" s="1" t="s">
        <v>68</v>
      </c>
      <c r="C129" s="3">
        <v>2.3767670000000001</v>
      </c>
      <c r="D129" s="3">
        <v>2.1613880000000001</v>
      </c>
      <c r="E129" s="3">
        <v>2.5921460000000001</v>
      </c>
      <c r="F129" s="2">
        <v>126</v>
      </c>
      <c r="G129" s="2">
        <v>98</v>
      </c>
      <c r="H129" s="2">
        <v>145</v>
      </c>
      <c r="I129" s="3">
        <f>(C129-1)*100/($C$4-1)</f>
        <v>42.677652933213523</v>
      </c>
      <c r="J129" s="3">
        <v>2.5989429999999998</v>
      </c>
      <c r="K129" s="2">
        <v>80</v>
      </c>
      <c r="L129" s="3">
        <v>2.1176740000000001</v>
      </c>
      <c r="M129" s="2">
        <v>133</v>
      </c>
      <c r="N129" s="3">
        <v>2.562729</v>
      </c>
      <c r="O129" s="2">
        <v>102</v>
      </c>
      <c r="P129" s="3">
        <v>2.3676740000000001</v>
      </c>
      <c r="Q129" s="2">
        <v>117</v>
      </c>
      <c r="R129" s="3">
        <v>2.1781130000000002</v>
      </c>
      <c r="S129" s="2">
        <v>133</v>
      </c>
      <c r="T129" s="3">
        <v>2.3708040000000001</v>
      </c>
      <c r="U129" s="2">
        <v>149</v>
      </c>
    </row>
    <row r="130" spans="1:21" x14ac:dyDescent="0.2">
      <c r="A130" s="1" t="s">
        <v>67</v>
      </c>
      <c r="B130" s="1" t="s">
        <v>66</v>
      </c>
      <c r="C130" s="3">
        <v>2.3757619999999999</v>
      </c>
      <c r="D130" s="3">
        <v>2.2681339999999999</v>
      </c>
      <c r="E130" s="3">
        <v>2.4833910000000001</v>
      </c>
      <c r="F130" s="2">
        <v>127</v>
      </c>
      <c r="G130" s="2">
        <v>111</v>
      </c>
      <c r="H130" s="2">
        <v>136</v>
      </c>
      <c r="I130" s="3">
        <f>(C130-1)*100/($C$4-1)</f>
        <v>42.646499483720696</v>
      </c>
      <c r="J130" s="3">
        <v>2.2231130000000001</v>
      </c>
      <c r="K130" s="2">
        <v>123</v>
      </c>
      <c r="L130" s="3">
        <v>2.0099179999999999</v>
      </c>
      <c r="M130" s="2">
        <v>146</v>
      </c>
      <c r="N130" s="3">
        <v>2.3291949999999999</v>
      </c>
      <c r="O130" s="2">
        <v>135</v>
      </c>
      <c r="P130" s="3">
        <v>2.333415</v>
      </c>
      <c r="Q130" s="2">
        <v>123</v>
      </c>
      <c r="R130" s="3">
        <v>2.369828</v>
      </c>
      <c r="S130" s="2">
        <v>118</v>
      </c>
      <c r="T130" s="3">
        <v>2.9433889999999998</v>
      </c>
      <c r="U130" s="2">
        <v>102</v>
      </c>
    </row>
    <row r="131" spans="1:21" x14ac:dyDescent="0.2">
      <c r="A131" s="1" t="s">
        <v>65</v>
      </c>
      <c r="B131" s="1" t="s">
        <v>64</v>
      </c>
      <c r="C131" s="3">
        <v>2.3706809999999998</v>
      </c>
      <c r="D131" s="3">
        <v>2.073258</v>
      </c>
      <c r="E131" s="3">
        <v>2.668104</v>
      </c>
      <c r="F131" s="2">
        <v>128</v>
      </c>
      <c r="G131" s="2">
        <v>85</v>
      </c>
      <c r="H131" s="2">
        <v>151</v>
      </c>
      <c r="I131" s="3">
        <f>(C131-1)*100/($C$4-1)</f>
        <v>42.488996322653023</v>
      </c>
      <c r="J131" s="3">
        <v>2.4444439999999998</v>
      </c>
      <c r="K131" s="2">
        <v>95</v>
      </c>
      <c r="L131" s="3">
        <v>1.9074070000000001</v>
      </c>
      <c r="M131" s="2">
        <v>152</v>
      </c>
      <c r="N131" s="3">
        <v>2.574074</v>
      </c>
      <c r="O131" s="2">
        <v>99</v>
      </c>
      <c r="P131" s="3">
        <v>2.074074</v>
      </c>
      <c r="Q131" s="2">
        <v>148</v>
      </c>
      <c r="R131" s="3">
        <v>2.4074070000000001</v>
      </c>
      <c r="S131" s="2">
        <v>114</v>
      </c>
      <c r="T131" s="3">
        <v>2.7407409999999999</v>
      </c>
      <c r="U131" s="2">
        <v>123</v>
      </c>
    </row>
    <row r="132" spans="1:21" x14ac:dyDescent="0.2">
      <c r="A132" s="1" t="s">
        <v>63</v>
      </c>
      <c r="B132" s="1" t="s">
        <v>62</v>
      </c>
      <c r="C132" s="3">
        <v>2.3589600000000002</v>
      </c>
      <c r="D132" s="3">
        <v>2.1211039999999999</v>
      </c>
      <c r="E132" s="3">
        <v>2.5968149999999999</v>
      </c>
      <c r="F132" s="2">
        <v>129</v>
      </c>
      <c r="G132" s="2">
        <v>97</v>
      </c>
      <c r="H132" s="2">
        <v>150</v>
      </c>
      <c r="I132" s="3">
        <f>(C132-1)*100/($C$4-1)</f>
        <v>42.125663405732304</v>
      </c>
      <c r="J132" s="3">
        <v>2.2820510000000001</v>
      </c>
      <c r="K132" s="2">
        <v>117</v>
      </c>
      <c r="L132" s="3">
        <v>2.0116550000000002</v>
      </c>
      <c r="M132" s="2">
        <v>145</v>
      </c>
      <c r="N132" s="3">
        <v>2.3752909999999998</v>
      </c>
      <c r="O132" s="2">
        <v>124</v>
      </c>
      <c r="P132" s="3">
        <v>2.5423460000000002</v>
      </c>
      <c r="Q132" s="2">
        <v>97</v>
      </c>
      <c r="R132" s="3">
        <v>2.5423460000000002</v>
      </c>
      <c r="S132" s="2">
        <v>97</v>
      </c>
      <c r="T132" s="3">
        <v>2.3754469999999999</v>
      </c>
      <c r="U132" s="2">
        <v>148</v>
      </c>
    </row>
    <row r="133" spans="1:21" x14ac:dyDescent="0.2">
      <c r="A133" s="1" t="s">
        <v>61</v>
      </c>
      <c r="B133" s="1" t="s">
        <v>60</v>
      </c>
      <c r="C133" s="3">
        <v>2.3530129999999998</v>
      </c>
      <c r="D133" s="3">
        <v>2.0419930000000002</v>
      </c>
      <c r="E133" s="3">
        <v>2.6640320000000002</v>
      </c>
      <c r="F133" s="2">
        <v>130</v>
      </c>
      <c r="G133" s="2">
        <v>87</v>
      </c>
      <c r="H133" s="2">
        <v>153</v>
      </c>
      <c r="I133" s="3">
        <f>(C133-1)*100/($C$4-1)</f>
        <v>41.94131558072354</v>
      </c>
      <c r="J133" s="3">
        <v>2.2588379999999999</v>
      </c>
      <c r="K133" s="2">
        <v>118</v>
      </c>
      <c r="L133" s="3">
        <v>2.1666669999999999</v>
      </c>
      <c r="M133" s="2">
        <v>128</v>
      </c>
      <c r="N133" s="3">
        <v>2.3497469999999998</v>
      </c>
      <c r="O133" s="2">
        <v>131</v>
      </c>
      <c r="P133" s="3">
        <v>2.0770200000000001</v>
      </c>
      <c r="Q133" s="2">
        <v>146</v>
      </c>
      <c r="R133" s="3">
        <v>2.4406569999999999</v>
      </c>
      <c r="S133" s="2">
        <v>112</v>
      </c>
      <c r="T133" s="3">
        <v>2.8042929999999999</v>
      </c>
      <c r="U133" s="2">
        <v>117</v>
      </c>
    </row>
    <row r="134" spans="1:21" x14ac:dyDescent="0.2">
      <c r="A134" s="1" t="s">
        <v>59</v>
      </c>
      <c r="B134" s="1" t="s">
        <v>58</v>
      </c>
      <c r="C134" s="3">
        <v>2.3464589999999999</v>
      </c>
      <c r="D134" s="3">
        <v>2.1006849999999999</v>
      </c>
      <c r="E134" s="3">
        <v>2.5922339999999999</v>
      </c>
      <c r="F134" s="2">
        <v>131</v>
      </c>
      <c r="G134" s="2">
        <v>98</v>
      </c>
      <c r="H134" s="2">
        <v>150</v>
      </c>
      <c r="I134" s="3">
        <f>(C134-1)*100/($C$4-1)</f>
        <v>41.738151692190279</v>
      </c>
      <c r="J134" s="3">
        <v>2.375156</v>
      </c>
      <c r="K134" s="2">
        <v>105</v>
      </c>
      <c r="L134" s="3">
        <v>2.3125</v>
      </c>
      <c r="M134" s="2">
        <v>108</v>
      </c>
      <c r="N134" s="3">
        <v>2.3125</v>
      </c>
      <c r="O134" s="2">
        <v>136</v>
      </c>
      <c r="P134" s="3">
        <v>2.25</v>
      </c>
      <c r="Q134" s="2">
        <v>135</v>
      </c>
      <c r="R134" s="3">
        <v>2.3125</v>
      </c>
      <c r="S134" s="2">
        <v>124</v>
      </c>
      <c r="T134" s="3">
        <v>2.5101559999999998</v>
      </c>
      <c r="U134" s="2">
        <v>145</v>
      </c>
    </row>
    <row r="135" spans="1:21" x14ac:dyDescent="0.2">
      <c r="A135" s="1" t="s">
        <v>57</v>
      </c>
      <c r="B135" s="1" t="s">
        <v>56</v>
      </c>
      <c r="C135" s="3">
        <v>2.3277109999999999</v>
      </c>
      <c r="D135" s="3">
        <v>2.0594489999999999</v>
      </c>
      <c r="E135" s="3">
        <v>2.5959729999999999</v>
      </c>
      <c r="F135" s="2">
        <v>132</v>
      </c>
      <c r="G135" s="2">
        <v>98</v>
      </c>
      <c r="H135" s="2">
        <v>153</v>
      </c>
      <c r="I135" s="3">
        <f>(C135-1)*100/($C$4-1)</f>
        <v>41.156992616477474</v>
      </c>
      <c r="J135" s="3">
        <v>2.3147440000000001</v>
      </c>
      <c r="K135" s="2">
        <v>115</v>
      </c>
      <c r="L135" s="3">
        <v>2.2334939999999999</v>
      </c>
      <c r="M135" s="2">
        <v>119</v>
      </c>
      <c r="N135" s="3">
        <v>2.2455129999999999</v>
      </c>
      <c r="O135" s="2">
        <v>143</v>
      </c>
      <c r="P135" s="3">
        <v>2.39391</v>
      </c>
      <c r="Q135" s="2">
        <v>115</v>
      </c>
      <c r="R135" s="3">
        <v>2.1512120000000001</v>
      </c>
      <c r="S135" s="2">
        <v>136</v>
      </c>
      <c r="T135" s="3">
        <v>2.606071</v>
      </c>
      <c r="U135" s="2">
        <v>138</v>
      </c>
    </row>
    <row r="136" spans="1:21" x14ac:dyDescent="0.2">
      <c r="A136" s="1" t="s">
        <v>55</v>
      </c>
      <c r="B136" s="1" t="s">
        <v>54</v>
      </c>
      <c r="C136" s="3">
        <v>2.3256329999999998</v>
      </c>
      <c r="D136" s="3">
        <v>2.1127760000000002</v>
      </c>
      <c r="E136" s="3">
        <v>2.5384899999999999</v>
      </c>
      <c r="F136" s="2">
        <v>133</v>
      </c>
      <c r="G136" s="2">
        <v>102</v>
      </c>
      <c r="H136" s="2">
        <v>150</v>
      </c>
      <c r="I136" s="3">
        <f>(C136-1)*100/($C$4-1)</f>
        <v>41.092577822401772</v>
      </c>
      <c r="J136" s="3">
        <v>2.2398760000000002</v>
      </c>
      <c r="K136" s="2">
        <v>120</v>
      </c>
      <c r="L136" s="3">
        <v>2.1178170000000001</v>
      </c>
      <c r="M136" s="2">
        <v>132</v>
      </c>
      <c r="N136" s="3">
        <v>2.2584559999999998</v>
      </c>
      <c r="O136" s="2">
        <v>142</v>
      </c>
      <c r="P136" s="3">
        <v>2.4161190000000001</v>
      </c>
      <c r="Q136" s="2">
        <v>113</v>
      </c>
      <c r="R136" s="3">
        <v>2.1350259999999999</v>
      </c>
      <c r="S136" s="2">
        <v>137</v>
      </c>
      <c r="T136" s="3">
        <v>2.7474569999999998</v>
      </c>
      <c r="U136" s="2">
        <v>122</v>
      </c>
    </row>
    <row r="137" spans="1:21" x14ac:dyDescent="0.2">
      <c r="A137" s="1" t="s">
        <v>53</v>
      </c>
      <c r="B137" s="1" t="s">
        <v>52</v>
      </c>
      <c r="C137" s="3">
        <v>2.32254</v>
      </c>
      <c r="D137" s="3">
        <v>2.061172</v>
      </c>
      <c r="E137" s="3">
        <v>2.583907</v>
      </c>
      <c r="F137" s="2">
        <v>134</v>
      </c>
      <c r="G137" s="2">
        <v>98</v>
      </c>
      <c r="H137" s="2">
        <v>153</v>
      </c>
      <c r="I137" s="3">
        <f>(C137-1)*100/($C$4-1)</f>
        <v>40.996699594261202</v>
      </c>
      <c r="J137" s="3">
        <v>2.3744779999999999</v>
      </c>
      <c r="K137" s="2">
        <v>106</v>
      </c>
      <c r="L137" s="3">
        <v>2.297812</v>
      </c>
      <c r="M137" s="2">
        <v>110</v>
      </c>
      <c r="N137" s="3">
        <v>2.4805280000000001</v>
      </c>
      <c r="O137" s="2">
        <v>111</v>
      </c>
      <c r="P137" s="3">
        <v>1.956725</v>
      </c>
      <c r="Q137" s="2">
        <v>152</v>
      </c>
      <c r="R137" s="3">
        <v>2.0900590000000001</v>
      </c>
      <c r="S137" s="2">
        <v>139</v>
      </c>
      <c r="T137" s="3">
        <v>2.6900580000000001</v>
      </c>
      <c r="U137" s="2">
        <v>132</v>
      </c>
    </row>
    <row r="138" spans="1:21" x14ac:dyDescent="0.2">
      <c r="A138" s="1" t="s">
        <v>51</v>
      </c>
      <c r="B138" s="1" t="s">
        <v>50</v>
      </c>
      <c r="C138" s="3">
        <v>2.3214359999999998</v>
      </c>
      <c r="D138" s="3">
        <v>2.0400670000000001</v>
      </c>
      <c r="E138" s="3">
        <v>2.6028060000000002</v>
      </c>
      <c r="F138" s="2">
        <v>135</v>
      </c>
      <c r="G138" s="2">
        <v>95</v>
      </c>
      <c r="H138" s="2">
        <v>153</v>
      </c>
      <c r="I138" s="3">
        <f>(C138-1)*100/($C$4-1)</f>
        <v>40.962477297504904</v>
      </c>
      <c r="J138" s="3">
        <v>2.209524</v>
      </c>
      <c r="K138" s="2">
        <v>128</v>
      </c>
      <c r="L138" s="3">
        <v>1.9558439999999999</v>
      </c>
      <c r="M138" s="2">
        <v>151</v>
      </c>
      <c r="N138" s="3">
        <v>2.5012989999999999</v>
      </c>
      <c r="O138" s="2">
        <v>108</v>
      </c>
      <c r="P138" s="3">
        <v>2.2952379999999999</v>
      </c>
      <c r="Q138" s="2">
        <v>131</v>
      </c>
      <c r="R138" s="3">
        <v>2.1952379999999998</v>
      </c>
      <c r="S138" s="2">
        <v>131</v>
      </c>
      <c r="T138" s="3">
        <v>2.6952379999999998</v>
      </c>
      <c r="U138" s="2">
        <v>129</v>
      </c>
    </row>
    <row r="139" spans="1:21" x14ac:dyDescent="0.2">
      <c r="A139" s="1" t="s">
        <v>49</v>
      </c>
      <c r="B139" s="1" t="s">
        <v>48</v>
      </c>
      <c r="C139" s="3">
        <v>2.3161860000000001</v>
      </c>
      <c r="D139" s="3">
        <v>2.021792</v>
      </c>
      <c r="E139" s="3">
        <v>2.610579</v>
      </c>
      <c r="F139" s="2">
        <v>136</v>
      </c>
      <c r="G139" s="2">
        <v>95</v>
      </c>
      <c r="H139" s="2">
        <v>155</v>
      </c>
      <c r="I139" s="3">
        <f>(C139-1)*100/($C$4-1)</f>
        <v>40.799735397169293</v>
      </c>
      <c r="J139" s="3">
        <v>2.3318430000000001</v>
      </c>
      <c r="K139" s="2">
        <v>111</v>
      </c>
      <c r="L139" s="3">
        <v>2.2456960000000001</v>
      </c>
      <c r="M139" s="2">
        <v>115</v>
      </c>
      <c r="N139" s="3">
        <v>2.211138</v>
      </c>
      <c r="O139" s="2">
        <v>147</v>
      </c>
      <c r="P139" s="3">
        <v>2.2522440000000001</v>
      </c>
      <c r="Q139" s="2">
        <v>134</v>
      </c>
      <c r="R139" s="3">
        <v>2.2456960000000001</v>
      </c>
      <c r="S139" s="2">
        <v>128</v>
      </c>
      <c r="T139" s="3">
        <v>2.6028389999999999</v>
      </c>
      <c r="U139" s="2">
        <v>140</v>
      </c>
    </row>
    <row r="140" spans="1:21" x14ac:dyDescent="0.2">
      <c r="A140" s="1" t="s">
        <v>47</v>
      </c>
      <c r="B140" s="1" t="s">
        <v>46</v>
      </c>
      <c r="C140" s="3">
        <v>2.2644950000000001</v>
      </c>
      <c r="D140" s="3">
        <v>1.9823120000000001</v>
      </c>
      <c r="E140" s="3">
        <v>2.546678</v>
      </c>
      <c r="F140" s="2">
        <v>137</v>
      </c>
      <c r="G140" s="2">
        <v>102</v>
      </c>
      <c r="H140" s="2">
        <v>155</v>
      </c>
      <c r="I140" s="3">
        <f>(C140-1)*100/($C$4-1)</f>
        <v>39.197394145693373</v>
      </c>
      <c r="J140" s="3">
        <v>1.8841540000000001</v>
      </c>
      <c r="K140" s="2">
        <v>153</v>
      </c>
      <c r="L140" s="3">
        <v>2.0407199999999999</v>
      </c>
      <c r="M140" s="2">
        <v>142</v>
      </c>
      <c r="N140" s="3">
        <v>2.39697</v>
      </c>
      <c r="O140" s="2">
        <v>123</v>
      </c>
      <c r="P140" s="3">
        <v>2.4969700000000001</v>
      </c>
      <c r="Q140" s="2">
        <v>101</v>
      </c>
      <c r="R140" s="3">
        <v>1.8509260000000001</v>
      </c>
      <c r="S140" s="2">
        <v>153</v>
      </c>
      <c r="T140" s="3">
        <v>2.8342589999999999</v>
      </c>
      <c r="U140" s="2">
        <v>113</v>
      </c>
    </row>
    <row r="141" spans="1:21" x14ac:dyDescent="0.2">
      <c r="A141" s="1" t="s">
        <v>45</v>
      </c>
      <c r="B141" s="1" t="s">
        <v>44</v>
      </c>
      <c r="C141" s="3">
        <v>2.2514620000000001</v>
      </c>
      <c r="D141" s="3">
        <v>2.0983520000000002</v>
      </c>
      <c r="E141" s="3">
        <v>2.4045719999999999</v>
      </c>
      <c r="F141" s="2">
        <v>138</v>
      </c>
      <c r="G141" s="2">
        <v>118</v>
      </c>
      <c r="H141" s="2">
        <v>150</v>
      </c>
      <c r="I141" s="3">
        <f>(C141-1)*100/($C$4-1)</f>
        <v>38.793391252917345</v>
      </c>
      <c r="J141" s="3">
        <v>1.967352</v>
      </c>
      <c r="K141" s="2">
        <v>146</v>
      </c>
      <c r="L141" s="3">
        <v>2.1096680000000001</v>
      </c>
      <c r="M141" s="2">
        <v>134</v>
      </c>
      <c r="N141" s="3">
        <v>2.3991699999999998</v>
      </c>
      <c r="O141" s="2">
        <v>122</v>
      </c>
      <c r="P141" s="3">
        <v>1.8992659999999999</v>
      </c>
      <c r="Q141" s="2">
        <v>154</v>
      </c>
      <c r="R141" s="3">
        <v>2.3056160000000001</v>
      </c>
      <c r="S141" s="2">
        <v>125</v>
      </c>
      <c r="T141" s="3">
        <v>2.791455</v>
      </c>
      <c r="U141" s="2">
        <v>118</v>
      </c>
    </row>
    <row r="142" spans="1:21" x14ac:dyDescent="0.2">
      <c r="A142" s="1" t="s">
        <v>43</v>
      </c>
      <c r="B142" s="1" t="s">
        <v>42</v>
      </c>
      <c r="C142" s="3">
        <v>2.2411829999999999</v>
      </c>
      <c r="D142" s="3">
        <v>2.097788</v>
      </c>
      <c r="E142" s="3">
        <v>2.384579</v>
      </c>
      <c r="F142" s="2">
        <v>139</v>
      </c>
      <c r="G142" s="2">
        <v>123</v>
      </c>
      <c r="H142" s="2">
        <v>150</v>
      </c>
      <c r="I142" s="3">
        <f>(C142-1)*100/($C$4-1)</f>
        <v>38.4747581112888</v>
      </c>
      <c r="J142" s="3">
        <v>1.7968329999999999</v>
      </c>
      <c r="K142" s="2">
        <v>157</v>
      </c>
      <c r="L142" s="3">
        <v>2.1337890000000002</v>
      </c>
      <c r="M142" s="2">
        <v>129</v>
      </c>
      <c r="N142" s="3">
        <v>2.3707379999999998</v>
      </c>
      <c r="O142" s="2">
        <v>128</v>
      </c>
      <c r="P142" s="3">
        <v>2.3106300000000002</v>
      </c>
      <c r="Q142" s="2">
        <v>128</v>
      </c>
      <c r="R142" s="3">
        <v>2.2118790000000002</v>
      </c>
      <c r="S142" s="2">
        <v>130</v>
      </c>
      <c r="T142" s="3">
        <v>2.589369</v>
      </c>
      <c r="U142" s="2">
        <v>141</v>
      </c>
    </row>
    <row r="143" spans="1:21" x14ac:dyDescent="0.2">
      <c r="A143" s="1" t="s">
        <v>41</v>
      </c>
      <c r="B143" s="1" t="s">
        <v>40</v>
      </c>
      <c r="C143" s="3">
        <v>2.2113960000000001</v>
      </c>
      <c r="D143" s="3">
        <v>1.8447739999999999</v>
      </c>
      <c r="E143" s="3">
        <v>2.578017</v>
      </c>
      <c r="F143" s="2">
        <v>140</v>
      </c>
      <c r="G143" s="2">
        <v>99</v>
      </c>
      <c r="H143" s="2">
        <v>157</v>
      </c>
      <c r="I143" s="3">
        <f>(C143-1)*100/($C$4-1)</f>
        <v>37.551407066470311</v>
      </c>
      <c r="J143" s="3">
        <v>2</v>
      </c>
      <c r="K143" s="2">
        <v>143</v>
      </c>
      <c r="L143" s="3">
        <v>2.338384</v>
      </c>
      <c r="M143" s="2">
        <v>103</v>
      </c>
      <c r="N143" s="3">
        <v>2.3737370000000002</v>
      </c>
      <c r="O143" s="2">
        <v>127</v>
      </c>
      <c r="P143" s="3">
        <v>2.088384</v>
      </c>
      <c r="Q143" s="2">
        <v>145</v>
      </c>
      <c r="R143" s="3">
        <v>1.838384</v>
      </c>
      <c r="S143" s="2">
        <v>154</v>
      </c>
      <c r="T143" s="3">
        <v>2.588384</v>
      </c>
      <c r="U143" s="2">
        <v>142</v>
      </c>
    </row>
    <row r="144" spans="1:21" x14ac:dyDescent="0.2">
      <c r="A144" s="1" t="s">
        <v>39</v>
      </c>
      <c r="B144" s="1" t="s">
        <v>38</v>
      </c>
      <c r="C144" s="3">
        <v>2.2055129999999998</v>
      </c>
      <c r="D144" s="3">
        <v>2.033944</v>
      </c>
      <c r="E144" s="3">
        <v>2.377081</v>
      </c>
      <c r="F144" s="2">
        <v>141</v>
      </c>
      <c r="G144" s="2">
        <v>124</v>
      </c>
      <c r="H144" s="2">
        <v>153</v>
      </c>
      <c r="I144" s="3">
        <f>(C144-1)*100/($C$4-1)</f>
        <v>37.369043142722781</v>
      </c>
      <c r="J144" s="3">
        <v>1.9466639999999999</v>
      </c>
      <c r="K144" s="2">
        <v>148</v>
      </c>
      <c r="L144" s="3">
        <v>2.2167729999999999</v>
      </c>
      <c r="M144" s="2">
        <v>122</v>
      </c>
      <c r="N144" s="3">
        <v>2.2151450000000001</v>
      </c>
      <c r="O144" s="2">
        <v>146</v>
      </c>
      <c r="P144" s="3">
        <v>2.2064949999999999</v>
      </c>
      <c r="Q144" s="2">
        <v>137</v>
      </c>
      <c r="R144" s="3">
        <v>2.0218859999999999</v>
      </c>
      <c r="S144" s="2">
        <v>147</v>
      </c>
      <c r="T144" s="3">
        <v>2.6040030000000001</v>
      </c>
      <c r="U144" s="2">
        <v>139</v>
      </c>
    </row>
    <row r="145" spans="1:21" x14ac:dyDescent="0.2">
      <c r="A145" s="1" t="s">
        <v>37</v>
      </c>
      <c r="B145" s="1" t="s">
        <v>36</v>
      </c>
      <c r="C145" s="3">
        <v>2.2039140000000002</v>
      </c>
      <c r="D145" s="3">
        <v>2.007355</v>
      </c>
      <c r="E145" s="3">
        <v>2.4004729999999999</v>
      </c>
      <c r="F145" s="2">
        <v>142</v>
      </c>
      <c r="G145" s="2">
        <v>119</v>
      </c>
      <c r="H145" s="2">
        <v>155</v>
      </c>
      <c r="I145" s="3">
        <f>(C145-1)*100/($C$4-1)</f>
        <v>37.319476609649143</v>
      </c>
      <c r="J145" s="3">
        <v>2.0657239999999999</v>
      </c>
      <c r="K145" s="2">
        <v>135</v>
      </c>
      <c r="L145" s="3">
        <v>2.0126140000000001</v>
      </c>
      <c r="M145" s="2">
        <v>144</v>
      </c>
      <c r="N145" s="3">
        <v>2.2246760000000001</v>
      </c>
      <c r="O145" s="2">
        <v>145</v>
      </c>
      <c r="P145" s="3">
        <v>2.0742500000000001</v>
      </c>
      <c r="Q145" s="2">
        <v>147</v>
      </c>
      <c r="R145" s="3">
        <v>2.0742500000000001</v>
      </c>
      <c r="S145" s="2">
        <v>140</v>
      </c>
      <c r="T145" s="3">
        <v>2.728634</v>
      </c>
      <c r="U145" s="2">
        <v>125</v>
      </c>
    </row>
    <row r="146" spans="1:21" x14ac:dyDescent="0.2">
      <c r="A146" s="1" t="s">
        <v>35</v>
      </c>
      <c r="B146" s="1" t="s">
        <v>34</v>
      </c>
      <c r="C146" s="3">
        <v>2.1916500000000001</v>
      </c>
      <c r="D146" s="3">
        <v>1.9563250000000001</v>
      </c>
      <c r="E146" s="3">
        <v>2.4269750000000001</v>
      </c>
      <c r="F146" s="2">
        <v>143</v>
      </c>
      <c r="G146" s="2">
        <v>116</v>
      </c>
      <c r="H146" s="2">
        <v>155</v>
      </c>
      <c r="I146" s="3">
        <f>(C146-1)*100/($C$4-1)</f>
        <v>36.939311530465133</v>
      </c>
      <c r="J146" s="3">
        <v>2.069849</v>
      </c>
      <c r="K146" s="2">
        <v>134</v>
      </c>
      <c r="L146" s="3">
        <v>2.0459429999999998</v>
      </c>
      <c r="M146" s="2">
        <v>141</v>
      </c>
      <c r="N146" s="3">
        <v>2.281237</v>
      </c>
      <c r="O146" s="2">
        <v>141</v>
      </c>
      <c r="P146" s="3">
        <v>2.1211690000000001</v>
      </c>
      <c r="Q146" s="2">
        <v>142</v>
      </c>
      <c r="R146" s="3">
        <v>2.0676600000000001</v>
      </c>
      <c r="S146" s="2">
        <v>142</v>
      </c>
      <c r="T146" s="3">
        <v>2.5223770000000001</v>
      </c>
      <c r="U146" s="2">
        <v>144</v>
      </c>
    </row>
    <row r="147" spans="1:21" x14ac:dyDescent="0.2">
      <c r="A147" s="1" t="s">
        <v>33</v>
      </c>
      <c r="B147" s="1" t="s">
        <v>32</v>
      </c>
      <c r="C147" s="3">
        <v>2.1718419999999998</v>
      </c>
      <c r="D147" s="3">
        <v>1.858535</v>
      </c>
      <c r="E147" s="3">
        <v>2.4851489999999998</v>
      </c>
      <c r="F147" s="2">
        <v>144</v>
      </c>
      <c r="G147" s="2">
        <v>111</v>
      </c>
      <c r="H147" s="2">
        <v>157</v>
      </c>
      <c r="I147" s="3">
        <f>(C147-1)*100/($C$4-1)</f>
        <v>36.325294090113132</v>
      </c>
      <c r="J147" s="3">
        <v>2.006993</v>
      </c>
      <c r="K147" s="2">
        <v>140</v>
      </c>
      <c r="L147" s="3">
        <v>2.0629369999999998</v>
      </c>
      <c r="M147" s="2">
        <v>139</v>
      </c>
      <c r="N147" s="3">
        <v>2.1608390000000002</v>
      </c>
      <c r="O147" s="2">
        <v>150</v>
      </c>
      <c r="P147" s="3">
        <v>2.24864</v>
      </c>
      <c r="Q147" s="2">
        <v>136</v>
      </c>
      <c r="R147" s="3">
        <v>2.0264180000000001</v>
      </c>
      <c r="S147" s="2">
        <v>146</v>
      </c>
      <c r="T147" s="3">
        <v>2.4966200000000001</v>
      </c>
      <c r="U147" s="2">
        <v>146</v>
      </c>
    </row>
    <row r="148" spans="1:21" x14ac:dyDescent="0.2">
      <c r="A148" s="1" t="s">
        <v>31</v>
      </c>
      <c r="B148" s="1" t="s">
        <v>30</v>
      </c>
      <c r="C148" s="3">
        <v>2.164453</v>
      </c>
      <c r="D148" s="3">
        <v>1.9179889999999999</v>
      </c>
      <c r="E148" s="3">
        <v>2.410917</v>
      </c>
      <c r="F148" s="2">
        <v>145</v>
      </c>
      <c r="G148" s="2">
        <v>118</v>
      </c>
      <c r="H148" s="2">
        <v>155</v>
      </c>
      <c r="I148" s="3">
        <f>(C148-1)*100/($C$4-1)</f>
        <v>36.096246489812202</v>
      </c>
      <c r="J148" s="3">
        <v>2.0772590000000002</v>
      </c>
      <c r="K148" s="2">
        <v>133</v>
      </c>
      <c r="L148" s="3">
        <v>2.0743740000000002</v>
      </c>
      <c r="M148" s="2">
        <v>136</v>
      </c>
      <c r="N148" s="3">
        <v>2.405843</v>
      </c>
      <c r="O148" s="2">
        <v>121</v>
      </c>
      <c r="P148" s="3">
        <v>2.0586350000000002</v>
      </c>
      <c r="Q148" s="2">
        <v>149</v>
      </c>
      <c r="R148" s="3">
        <v>2.071723</v>
      </c>
      <c r="S148" s="2">
        <v>141</v>
      </c>
      <c r="T148" s="3">
        <v>2.2541509999999998</v>
      </c>
      <c r="U148" s="2">
        <v>155</v>
      </c>
    </row>
    <row r="149" spans="1:21" x14ac:dyDescent="0.2">
      <c r="A149" s="1" t="s">
        <v>29</v>
      </c>
      <c r="B149" s="1" t="s">
        <v>28</v>
      </c>
      <c r="C149" s="3">
        <v>2.1559300000000001</v>
      </c>
      <c r="D149" s="3">
        <v>1.799474</v>
      </c>
      <c r="E149" s="3">
        <v>2.5123859999999998</v>
      </c>
      <c r="F149" s="2">
        <v>146</v>
      </c>
      <c r="G149" s="2">
        <v>105</v>
      </c>
      <c r="H149" s="2">
        <v>157</v>
      </c>
      <c r="I149" s="3">
        <f>(C149-1)*100/($C$4-1)</f>
        <v>35.832046639038779</v>
      </c>
      <c r="J149" s="3">
        <v>1.8</v>
      </c>
      <c r="K149" s="2">
        <v>156</v>
      </c>
      <c r="L149" s="3">
        <v>1.96</v>
      </c>
      <c r="M149" s="2">
        <v>150</v>
      </c>
      <c r="N149" s="3">
        <v>2.1028570000000002</v>
      </c>
      <c r="O149" s="2">
        <v>152</v>
      </c>
      <c r="P149" s="3">
        <v>1.96</v>
      </c>
      <c r="Q149" s="2">
        <v>151</v>
      </c>
      <c r="R149" s="3">
        <v>2.3864290000000001</v>
      </c>
      <c r="S149" s="2">
        <v>115</v>
      </c>
      <c r="T149" s="3">
        <v>2.7197619999999998</v>
      </c>
      <c r="U149" s="2">
        <v>126</v>
      </c>
    </row>
    <row r="150" spans="1:21" x14ac:dyDescent="0.2">
      <c r="A150" s="1" t="s">
        <v>27</v>
      </c>
      <c r="B150" s="1" t="s">
        <v>26</v>
      </c>
      <c r="C150" s="3">
        <v>2.154639</v>
      </c>
      <c r="D150" s="3">
        <v>1.966901</v>
      </c>
      <c r="E150" s="3">
        <v>2.3423780000000001</v>
      </c>
      <c r="F150" s="2">
        <v>147</v>
      </c>
      <c r="G150" s="2">
        <v>132</v>
      </c>
      <c r="H150" s="2">
        <v>155</v>
      </c>
      <c r="I150" s="3">
        <f>(C150-1)*100/($C$4-1)</f>
        <v>35.792027630784816</v>
      </c>
      <c r="J150" s="3">
        <v>2.3315739999999998</v>
      </c>
      <c r="K150" s="2">
        <v>112</v>
      </c>
      <c r="L150" s="3">
        <v>2.1182219999999998</v>
      </c>
      <c r="M150" s="2">
        <v>131</v>
      </c>
      <c r="N150" s="3">
        <v>2.1713110000000002</v>
      </c>
      <c r="O150" s="2">
        <v>149</v>
      </c>
      <c r="P150" s="3">
        <v>1.927087</v>
      </c>
      <c r="Q150" s="2">
        <v>153</v>
      </c>
      <c r="R150" s="3">
        <v>2.0104199999999999</v>
      </c>
      <c r="S150" s="2">
        <v>148</v>
      </c>
      <c r="T150" s="3">
        <v>2.347782</v>
      </c>
      <c r="U150" s="2">
        <v>151</v>
      </c>
    </row>
    <row r="151" spans="1:21" x14ac:dyDescent="0.2">
      <c r="A151" s="1" t="s">
        <v>25</v>
      </c>
      <c r="B151" s="1" t="s">
        <v>24</v>
      </c>
      <c r="C151" s="3">
        <v>2.1514989999999998</v>
      </c>
      <c r="D151" s="3">
        <v>1.9519580000000001</v>
      </c>
      <c r="E151" s="3">
        <v>2.3510409999999999</v>
      </c>
      <c r="F151" s="2">
        <v>148</v>
      </c>
      <c r="G151" s="2">
        <v>131</v>
      </c>
      <c r="H151" s="2">
        <v>155</v>
      </c>
      <c r="I151" s="3">
        <f>(C151-1)*100/($C$4-1)</f>
        <v>35.694692475155513</v>
      </c>
      <c r="J151" s="3">
        <v>2.0909089999999999</v>
      </c>
      <c r="K151" s="2">
        <v>132</v>
      </c>
      <c r="L151" s="3">
        <v>2.2056930000000001</v>
      </c>
      <c r="M151" s="2">
        <v>125</v>
      </c>
      <c r="N151" s="3">
        <v>1.983471</v>
      </c>
      <c r="O151" s="2">
        <v>155</v>
      </c>
      <c r="P151" s="3">
        <v>2.3168039999999999</v>
      </c>
      <c r="Q151" s="2">
        <v>124</v>
      </c>
      <c r="R151" s="3">
        <v>2.0369609999999998</v>
      </c>
      <c r="S151" s="2">
        <v>145</v>
      </c>
      <c r="T151" s="3">
        <v>2.2869609999999998</v>
      </c>
      <c r="U151" s="2">
        <v>154</v>
      </c>
    </row>
    <row r="152" spans="1:21" x14ac:dyDescent="0.2">
      <c r="A152" s="1" t="s">
        <v>23</v>
      </c>
      <c r="B152" s="1" t="s">
        <v>22</v>
      </c>
      <c r="C152" s="3">
        <v>2.149902</v>
      </c>
      <c r="D152" s="3">
        <v>2.0257710000000002</v>
      </c>
      <c r="E152" s="3">
        <v>2.2740330000000002</v>
      </c>
      <c r="F152" s="2">
        <v>149</v>
      </c>
      <c r="G152" s="2">
        <v>137</v>
      </c>
      <c r="H152" s="2">
        <v>154</v>
      </c>
      <c r="I152" s="3">
        <f>(C152-1)*100/($C$4-1)</f>
        <v>35.64518793899628</v>
      </c>
      <c r="J152" s="3">
        <v>2.0087350000000002</v>
      </c>
      <c r="K152" s="2">
        <v>139</v>
      </c>
      <c r="L152" s="3">
        <v>1.8671850000000001</v>
      </c>
      <c r="M152" s="2">
        <v>153</v>
      </c>
      <c r="N152" s="3">
        <v>2.333148</v>
      </c>
      <c r="O152" s="2">
        <v>134</v>
      </c>
      <c r="P152" s="3">
        <v>1.970772</v>
      </c>
      <c r="Q152" s="2">
        <v>150</v>
      </c>
      <c r="R152" s="3">
        <v>1.9821979999999999</v>
      </c>
      <c r="S152" s="2">
        <v>149</v>
      </c>
      <c r="T152" s="3">
        <v>2.6638449999999998</v>
      </c>
      <c r="U152" s="2">
        <v>135</v>
      </c>
    </row>
    <row r="153" spans="1:21" x14ac:dyDescent="0.2">
      <c r="A153" s="1" t="s">
        <v>21</v>
      </c>
      <c r="B153" s="1" t="s">
        <v>20</v>
      </c>
      <c r="C153" s="3">
        <v>2.1412819999999999</v>
      </c>
      <c r="D153" s="3">
        <v>2.017525</v>
      </c>
      <c r="E153" s="3">
        <v>2.2650380000000001</v>
      </c>
      <c r="F153" s="2">
        <v>150</v>
      </c>
      <c r="G153" s="2">
        <v>137</v>
      </c>
      <c r="H153" s="2">
        <v>155</v>
      </c>
      <c r="I153" s="3">
        <f>(C153-1)*100/($C$4-1)</f>
        <v>35.37798123787379</v>
      </c>
      <c r="J153" s="3">
        <v>2.0111469999999998</v>
      </c>
      <c r="K153" s="2">
        <v>138</v>
      </c>
      <c r="L153" s="3">
        <v>1.8354729999999999</v>
      </c>
      <c r="M153" s="2">
        <v>154</v>
      </c>
      <c r="N153" s="3">
        <v>2.3750260000000001</v>
      </c>
      <c r="O153" s="2">
        <v>125</v>
      </c>
      <c r="P153" s="3">
        <v>2.145073</v>
      </c>
      <c r="Q153" s="2">
        <v>139</v>
      </c>
      <c r="R153" s="3">
        <v>1.772402</v>
      </c>
      <c r="S153" s="2">
        <v>155</v>
      </c>
      <c r="T153" s="3">
        <v>2.6112030000000002</v>
      </c>
      <c r="U153" s="2">
        <v>137</v>
      </c>
    </row>
    <row r="154" spans="1:21" x14ac:dyDescent="0.2">
      <c r="A154" s="1" t="s">
        <v>19</v>
      </c>
      <c r="B154" s="1" t="s">
        <v>18</v>
      </c>
      <c r="C154" s="3">
        <v>2.082408</v>
      </c>
      <c r="D154" s="3">
        <v>1.768869</v>
      </c>
      <c r="E154" s="3">
        <v>2.395947</v>
      </c>
      <c r="F154" s="2">
        <v>151</v>
      </c>
      <c r="G154" s="2">
        <v>122</v>
      </c>
      <c r="H154" s="2">
        <v>157</v>
      </c>
      <c r="I154" s="3">
        <f>(C154-1)*100/($C$4-1)</f>
        <v>33.552978068281547</v>
      </c>
      <c r="J154" s="3">
        <v>1.9952380000000001</v>
      </c>
      <c r="K154" s="2">
        <v>144</v>
      </c>
      <c r="L154" s="3">
        <v>2.2135159999999998</v>
      </c>
      <c r="M154" s="2">
        <v>123</v>
      </c>
      <c r="N154" s="3">
        <v>2.0801829999999999</v>
      </c>
      <c r="O154" s="2">
        <v>153</v>
      </c>
      <c r="P154" s="3">
        <v>2.12967</v>
      </c>
      <c r="Q154" s="2">
        <v>141</v>
      </c>
      <c r="R154" s="3">
        <v>1.946337</v>
      </c>
      <c r="S154" s="2">
        <v>150</v>
      </c>
      <c r="T154" s="3">
        <v>2.1319050000000002</v>
      </c>
      <c r="U154" s="2">
        <v>158</v>
      </c>
    </row>
    <row r="155" spans="1:21" x14ac:dyDescent="0.2">
      <c r="A155" s="1" t="s">
        <v>17</v>
      </c>
      <c r="B155" s="1" t="s">
        <v>16</v>
      </c>
      <c r="C155" s="3">
        <v>2.0672540000000001</v>
      </c>
      <c r="D155" s="3">
        <v>1.807525</v>
      </c>
      <c r="E155" s="3">
        <v>2.3269829999999998</v>
      </c>
      <c r="F155" s="2">
        <v>152</v>
      </c>
      <c r="G155" s="2">
        <v>133</v>
      </c>
      <c r="H155" s="2">
        <v>157</v>
      </c>
      <c r="I155" s="3">
        <f>(C155-1)*100/($C$4-1)</f>
        <v>33.083227447769929</v>
      </c>
      <c r="J155" s="3">
        <v>1.8461540000000001</v>
      </c>
      <c r="K155" s="2">
        <v>155</v>
      </c>
      <c r="L155" s="3">
        <v>1.7618339999999999</v>
      </c>
      <c r="M155" s="2">
        <v>155</v>
      </c>
      <c r="N155" s="3">
        <v>2.1785009999999998</v>
      </c>
      <c r="O155" s="2">
        <v>148</v>
      </c>
      <c r="P155" s="3">
        <v>2.0951680000000001</v>
      </c>
      <c r="Q155" s="2">
        <v>144</v>
      </c>
      <c r="R155" s="3">
        <v>1.7618339999999999</v>
      </c>
      <c r="S155" s="2">
        <v>156</v>
      </c>
      <c r="T155" s="3">
        <v>2.6785009999999998</v>
      </c>
      <c r="U155" s="2">
        <v>133</v>
      </c>
    </row>
    <row r="156" spans="1:21" x14ac:dyDescent="0.2">
      <c r="A156" s="1" t="s">
        <v>15</v>
      </c>
      <c r="B156" s="1" t="s">
        <v>14</v>
      </c>
      <c r="C156" s="3">
        <v>2.0627430000000002</v>
      </c>
      <c r="D156" s="3">
        <v>1.8697630000000001</v>
      </c>
      <c r="E156" s="3">
        <v>2.2557230000000001</v>
      </c>
      <c r="F156" s="2">
        <v>153</v>
      </c>
      <c r="G156" s="2">
        <v>138</v>
      </c>
      <c r="H156" s="2">
        <v>156</v>
      </c>
      <c r="I156" s="3">
        <f>(C156-1)*100/($C$4-1)</f>
        <v>32.943393407310126</v>
      </c>
      <c r="J156" s="3">
        <v>1.933333</v>
      </c>
      <c r="K156" s="2">
        <v>150</v>
      </c>
      <c r="L156" s="3">
        <v>2.1333329999999999</v>
      </c>
      <c r="M156" s="2">
        <v>130</v>
      </c>
      <c r="N156" s="3">
        <v>2.1160679999999998</v>
      </c>
      <c r="O156" s="2">
        <v>151</v>
      </c>
      <c r="P156" s="3">
        <v>2.1160679999999998</v>
      </c>
      <c r="Q156" s="2">
        <v>143</v>
      </c>
      <c r="R156" s="3">
        <v>2.039145</v>
      </c>
      <c r="S156" s="2">
        <v>144</v>
      </c>
      <c r="T156" s="3">
        <v>2.039145</v>
      </c>
      <c r="U156" s="2">
        <v>159</v>
      </c>
    </row>
    <row r="157" spans="1:21" x14ac:dyDescent="0.2">
      <c r="A157" s="1" t="s">
        <v>13</v>
      </c>
      <c r="B157" s="1" t="s">
        <v>12</v>
      </c>
      <c r="C157" s="3">
        <v>2.0259830000000001</v>
      </c>
      <c r="D157" s="3">
        <v>1.64673</v>
      </c>
      <c r="E157" s="3">
        <v>2.4052359999999999</v>
      </c>
      <c r="F157" s="2">
        <v>154</v>
      </c>
      <c r="G157" s="2">
        <v>118</v>
      </c>
      <c r="H157" s="2">
        <v>159</v>
      </c>
      <c r="I157" s="3">
        <f>(C157-1)*100/($C$4-1)</f>
        <v>31.803890120388711</v>
      </c>
      <c r="J157" s="3">
        <v>1.9129069999999999</v>
      </c>
      <c r="K157" s="2">
        <v>151</v>
      </c>
      <c r="L157" s="3">
        <v>1.9616439999999999</v>
      </c>
      <c r="M157" s="2">
        <v>149</v>
      </c>
      <c r="N157" s="3">
        <v>1.838721</v>
      </c>
      <c r="O157" s="2">
        <v>158</v>
      </c>
      <c r="P157" s="3">
        <v>2.1640570000000001</v>
      </c>
      <c r="Q157" s="2">
        <v>138</v>
      </c>
      <c r="R157" s="3">
        <v>1.923316</v>
      </c>
      <c r="S157" s="2">
        <v>151</v>
      </c>
      <c r="T157" s="3">
        <v>2.3536839999999999</v>
      </c>
      <c r="U157" s="2">
        <v>150</v>
      </c>
    </row>
    <row r="158" spans="1:21" x14ac:dyDescent="0.2">
      <c r="A158" s="1" t="s">
        <v>11</v>
      </c>
      <c r="B158" s="1" t="s">
        <v>10</v>
      </c>
      <c r="C158" s="3">
        <v>2.0254020000000001</v>
      </c>
      <c r="D158" s="3">
        <v>1.695732</v>
      </c>
      <c r="E158" s="3">
        <v>2.3550710000000001</v>
      </c>
      <c r="F158" s="2">
        <v>155</v>
      </c>
      <c r="G158" s="2">
        <v>130</v>
      </c>
      <c r="H158" s="2">
        <v>159</v>
      </c>
      <c r="I158" s="3">
        <f>(C158-1)*100/($C$4-1)</f>
        <v>31.785880016751573</v>
      </c>
      <c r="J158" s="3">
        <v>1.9090910000000001</v>
      </c>
      <c r="K158" s="2">
        <v>152</v>
      </c>
      <c r="L158" s="3">
        <v>2.0694669999999999</v>
      </c>
      <c r="M158" s="2">
        <v>137</v>
      </c>
      <c r="N158" s="3">
        <v>2.3082639999999999</v>
      </c>
      <c r="O158" s="2">
        <v>138</v>
      </c>
      <c r="P158" s="3">
        <v>1.847245</v>
      </c>
      <c r="Q158" s="2">
        <v>155</v>
      </c>
      <c r="R158" s="3">
        <v>1.7361340000000001</v>
      </c>
      <c r="S158" s="2">
        <v>157</v>
      </c>
      <c r="T158" s="3">
        <v>2.2293020000000001</v>
      </c>
      <c r="U158" s="2">
        <v>156</v>
      </c>
    </row>
    <row r="159" spans="1:21" x14ac:dyDescent="0.2">
      <c r="A159" s="1" t="s">
        <v>9</v>
      </c>
      <c r="B159" s="1" t="s">
        <v>8</v>
      </c>
      <c r="C159" s="3">
        <v>1.8791899999999999</v>
      </c>
      <c r="D159" s="3">
        <v>1.528079</v>
      </c>
      <c r="E159" s="3">
        <v>2.2303009999999999</v>
      </c>
      <c r="F159" s="2">
        <v>156</v>
      </c>
      <c r="G159" s="2">
        <v>140</v>
      </c>
      <c r="H159" s="2">
        <v>160</v>
      </c>
      <c r="I159" s="3">
        <f>(C159-1)*100/($C$4-1)</f>
        <v>27.253533591633143</v>
      </c>
      <c r="J159" s="3">
        <v>1.875</v>
      </c>
      <c r="K159" s="2">
        <v>154</v>
      </c>
      <c r="L159" s="3">
        <v>1.5</v>
      </c>
      <c r="M159" s="2">
        <v>158</v>
      </c>
      <c r="N159" s="3">
        <v>1.890625</v>
      </c>
      <c r="O159" s="2">
        <v>156</v>
      </c>
      <c r="P159" s="3">
        <v>1.75</v>
      </c>
      <c r="Q159" s="2">
        <v>157</v>
      </c>
      <c r="R159" s="3">
        <v>1.890625</v>
      </c>
      <c r="S159" s="2">
        <v>152</v>
      </c>
      <c r="T159" s="3">
        <v>2.3191959999999998</v>
      </c>
      <c r="U159" s="2">
        <v>153</v>
      </c>
    </row>
    <row r="160" spans="1:21" x14ac:dyDescent="0.2">
      <c r="A160" s="1" t="s">
        <v>7</v>
      </c>
      <c r="B160" s="1" t="s">
        <v>6</v>
      </c>
      <c r="C160" s="3">
        <v>1.866001</v>
      </c>
      <c r="D160" s="3">
        <v>1.5200610000000001</v>
      </c>
      <c r="E160" s="3">
        <v>2.2119409999999999</v>
      </c>
      <c r="F160" s="2">
        <v>157</v>
      </c>
      <c r="G160" s="2">
        <v>140</v>
      </c>
      <c r="H160" s="2">
        <v>160</v>
      </c>
      <c r="I160" s="3">
        <f>(C160-1)*100/($C$4-1)</f>
        <v>26.844694939532861</v>
      </c>
      <c r="J160" s="3">
        <v>2.1428569999999998</v>
      </c>
      <c r="K160" s="2">
        <v>131</v>
      </c>
      <c r="L160" s="3">
        <v>1.5428569999999999</v>
      </c>
      <c r="M160" s="2">
        <v>157</v>
      </c>
      <c r="N160" s="3">
        <v>2</v>
      </c>
      <c r="O160" s="2">
        <v>154</v>
      </c>
      <c r="P160" s="3">
        <v>1.7428570000000001</v>
      </c>
      <c r="Q160" s="2">
        <v>158</v>
      </c>
      <c r="R160" s="3">
        <v>1.5428569999999999</v>
      </c>
      <c r="S160" s="2">
        <v>159</v>
      </c>
      <c r="T160" s="3">
        <v>2.1428569999999998</v>
      </c>
      <c r="U160" s="2">
        <v>157</v>
      </c>
    </row>
    <row r="161" spans="1:21" x14ac:dyDescent="0.2">
      <c r="A161" s="1" t="s">
        <v>5</v>
      </c>
      <c r="B161" s="1" t="s">
        <v>4</v>
      </c>
      <c r="C161" s="3">
        <v>1.747098</v>
      </c>
      <c r="D161" s="3">
        <v>1.3668670000000001</v>
      </c>
      <c r="E161" s="3">
        <v>2.127329</v>
      </c>
      <c r="F161" s="2">
        <v>158</v>
      </c>
      <c r="G161" s="2">
        <v>151</v>
      </c>
      <c r="H161" s="2">
        <v>160</v>
      </c>
      <c r="I161" s="3">
        <f>(C161-1)*100/($C$4-1)</f>
        <v>23.158885382274526</v>
      </c>
      <c r="J161" s="3">
        <v>1.285714</v>
      </c>
      <c r="K161" s="2">
        <v>159</v>
      </c>
      <c r="L161" s="3">
        <v>1.571429</v>
      </c>
      <c r="M161" s="2">
        <v>156</v>
      </c>
      <c r="N161" s="3">
        <v>1.857143</v>
      </c>
      <c r="O161" s="2">
        <v>157</v>
      </c>
      <c r="P161" s="3">
        <v>1.8469390000000001</v>
      </c>
      <c r="Q161" s="2">
        <v>156</v>
      </c>
      <c r="R161" s="3">
        <v>1.5136050000000001</v>
      </c>
      <c r="S161" s="2">
        <v>160</v>
      </c>
      <c r="T161" s="3">
        <v>2.3469389999999999</v>
      </c>
      <c r="U161" s="2">
        <v>152</v>
      </c>
    </row>
    <row r="162" spans="1:21" x14ac:dyDescent="0.2">
      <c r="A162" s="1" t="s">
        <v>3</v>
      </c>
      <c r="B162" s="1" t="s">
        <v>2</v>
      </c>
      <c r="C162" s="3">
        <v>1.7160960000000001</v>
      </c>
      <c r="D162" s="3">
        <v>1.551283</v>
      </c>
      <c r="E162" s="3">
        <v>1.8809089999999999</v>
      </c>
      <c r="F162" s="2">
        <v>159</v>
      </c>
      <c r="G162" s="2">
        <v>156</v>
      </c>
      <c r="H162" s="2">
        <v>160</v>
      </c>
      <c r="I162" s="3">
        <f>(C162-1)*100/($C$4-1)</f>
        <v>22.197871211949781</v>
      </c>
      <c r="J162" s="3">
        <v>1.698904</v>
      </c>
      <c r="K162" s="2">
        <v>158</v>
      </c>
      <c r="L162" s="3">
        <v>1.471292</v>
      </c>
      <c r="M162" s="2">
        <v>159</v>
      </c>
      <c r="N162" s="3">
        <v>1.806684</v>
      </c>
      <c r="O162" s="2">
        <v>159</v>
      </c>
      <c r="P162" s="3">
        <v>1.681079</v>
      </c>
      <c r="Q162" s="2">
        <v>159</v>
      </c>
      <c r="R162" s="3">
        <v>1.5598669999999999</v>
      </c>
      <c r="S162" s="2">
        <v>158</v>
      </c>
      <c r="T162" s="3">
        <v>2.0237989999999999</v>
      </c>
      <c r="U162" s="2">
        <v>160</v>
      </c>
    </row>
    <row r="163" spans="1:21" x14ac:dyDescent="0.2">
      <c r="A163" s="1" t="s">
        <v>1</v>
      </c>
      <c r="B163" s="1" t="s">
        <v>0</v>
      </c>
      <c r="C163" s="3">
        <v>1.598322</v>
      </c>
      <c r="D163" s="3">
        <v>1.2914079999999999</v>
      </c>
      <c r="E163" s="3">
        <v>1.9052370000000001</v>
      </c>
      <c r="F163" s="2">
        <v>160</v>
      </c>
      <c r="G163" s="2">
        <v>156</v>
      </c>
      <c r="H163" s="2">
        <v>160</v>
      </c>
      <c r="I163" s="3">
        <f>(C163-1)*100/($C$4-1)</f>
        <v>18.547058912877908</v>
      </c>
      <c r="J163" s="3">
        <v>1.111111</v>
      </c>
      <c r="K163" s="2">
        <v>160</v>
      </c>
      <c r="L163" s="3">
        <v>1.237654</v>
      </c>
      <c r="M163" s="2">
        <v>160</v>
      </c>
      <c r="N163" s="3">
        <v>1.362654</v>
      </c>
      <c r="O163" s="2">
        <v>160</v>
      </c>
      <c r="P163" s="3">
        <v>1.394253</v>
      </c>
      <c r="Q163" s="2">
        <v>160</v>
      </c>
      <c r="R163" s="3">
        <v>2.1006469999999999</v>
      </c>
      <c r="S163" s="2">
        <v>138</v>
      </c>
      <c r="T163" s="3">
        <v>2.3969429999999998</v>
      </c>
      <c r="U163" s="2">
        <v>147</v>
      </c>
    </row>
    <row r="164" spans="1:21" x14ac:dyDescent="0.2">
      <c r="K164" s="2"/>
      <c r="M164" s="2"/>
      <c r="O164" s="2"/>
      <c r="Q164" s="2"/>
      <c r="S164" s="2"/>
      <c r="U164" s="2"/>
    </row>
    <row r="165" spans="1:21" x14ac:dyDescent="0.2">
      <c r="K165" s="2"/>
      <c r="M165" s="2"/>
      <c r="O165" s="2"/>
      <c r="Q165" s="2"/>
      <c r="S165" s="2"/>
      <c r="U165" s="2"/>
    </row>
    <row r="166" spans="1:21" x14ac:dyDescent="0.2">
      <c r="K166" s="2"/>
      <c r="M166" s="2"/>
      <c r="O166" s="2"/>
      <c r="Q166" s="2"/>
      <c r="S166" s="2"/>
      <c r="U166" s="2"/>
    </row>
    <row r="167" spans="1:21" x14ac:dyDescent="0.2">
      <c r="K167" s="2"/>
      <c r="M167" s="2"/>
      <c r="O167" s="2"/>
      <c r="Q167" s="2"/>
      <c r="S167" s="2"/>
      <c r="U167" s="2"/>
    </row>
    <row r="168" spans="1:21" x14ac:dyDescent="0.2">
      <c r="K168" s="2"/>
      <c r="M168" s="2"/>
      <c r="O168" s="2"/>
      <c r="Q168" s="2"/>
      <c r="S168" s="2"/>
      <c r="U168" s="2"/>
    </row>
    <row r="169" spans="1:21" x14ac:dyDescent="0.2">
      <c r="K169" s="2"/>
      <c r="M169" s="2"/>
      <c r="O169" s="2"/>
      <c r="Q169" s="2"/>
      <c r="S169" s="2"/>
      <c r="U169" s="2"/>
    </row>
    <row r="170" spans="1:21" x14ac:dyDescent="0.2">
      <c r="K170" s="2"/>
      <c r="M170" s="2"/>
      <c r="O170" s="2"/>
      <c r="Q170" s="2"/>
      <c r="S170" s="2"/>
      <c r="U170" s="2"/>
    </row>
    <row r="171" spans="1:21" x14ac:dyDescent="0.2">
      <c r="K171" s="2"/>
      <c r="M171" s="2"/>
      <c r="O171" s="2"/>
      <c r="Q171" s="2"/>
      <c r="S171" s="2"/>
      <c r="U171" s="2"/>
    </row>
    <row r="172" spans="1:21" x14ac:dyDescent="0.2">
      <c r="K172" s="2"/>
      <c r="M172" s="2"/>
      <c r="O172" s="2"/>
      <c r="Q172" s="2"/>
      <c r="S172" s="2"/>
      <c r="U172" s="2"/>
    </row>
    <row r="173" spans="1:21" x14ac:dyDescent="0.2">
      <c r="K173" s="2"/>
      <c r="M173" s="2"/>
      <c r="O173" s="2"/>
      <c r="Q173" s="2"/>
      <c r="S173" s="2"/>
      <c r="U173" s="2"/>
    </row>
    <row r="174" spans="1:21" x14ac:dyDescent="0.2">
      <c r="K174" s="2"/>
      <c r="M174" s="2"/>
      <c r="O174" s="2"/>
      <c r="Q174" s="2"/>
      <c r="S174" s="2"/>
      <c r="U174" s="2"/>
    </row>
    <row r="175" spans="1:21" x14ac:dyDescent="0.2">
      <c r="K175" s="2"/>
      <c r="M175" s="2"/>
      <c r="O175" s="2"/>
      <c r="Q175" s="2"/>
      <c r="S175" s="2"/>
      <c r="U175" s="2"/>
    </row>
    <row r="176" spans="1:21" x14ac:dyDescent="0.2">
      <c r="K176" s="2"/>
      <c r="M176" s="2"/>
      <c r="O176" s="2"/>
      <c r="Q176" s="2"/>
      <c r="S176" s="2"/>
    </row>
    <row r="177" spans="11:19" x14ac:dyDescent="0.2">
      <c r="K177" s="2"/>
      <c r="M177" s="2"/>
      <c r="O177" s="2"/>
      <c r="Q177" s="2"/>
      <c r="S177" s="2"/>
    </row>
    <row r="178" spans="11:19" x14ac:dyDescent="0.2">
      <c r="K178" s="2"/>
      <c r="M178" s="2"/>
      <c r="O178" s="2"/>
      <c r="Q178" s="2"/>
      <c r="S178" s="2"/>
    </row>
    <row r="179" spans="11:19" x14ac:dyDescent="0.2">
      <c r="K179" s="2"/>
      <c r="M179" s="2"/>
      <c r="O179" s="2"/>
      <c r="Q179" s="2"/>
    </row>
    <row r="180" spans="11:19" x14ac:dyDescent="0.2">
      <c r="K180" s="2"/>
      <c r="M180" s="2"/>
      <c r="O180" s="2"/>
      <c r="Q180" s="2"/>
    </row>
    <row r="181" spans="11:19" x14ac:dyDescent="0.2">
      <c r="K181" s="2"/>
      <c r="M181" s="2"/>
      <c r="O181" s="2"/>
      <c r="Q181" s="2"/>
    </row>
    <row r="182" spans="11:19" x14ac:dyDescent="0.2">
      <c r="K182" s="2"/>
      <c r="M182" s="2"/>
      <c r="O182" s="2"/>
      <c r="Q182" s="2"/>
    </row>
    <row r="183" spans="11:19" x14ac:dyDescent="0.2">
      <c r="K183" s="2"/>
      <c r="M183" s="2"/>
      <c r="O183" s="2"/>
      <c r="Q183" s="2"/>
    </row>
    <row r="184" spans="11:19" x14ac:dyDescent="0.2">
      <c r="K184" s="2"/>
      <c r="M184" s="2"/>
      <c r="O184" s="2"/>
    </row>
    <row r="185" spans="11:19" x14ac:dyDescent="0.2">
      <c r="K185" s="2"/>
      <c r="M185" s="2"/>
      <c r="O185" s="2"/>
    </row>
    <row r="186" spans="11:19" x14ac:dyDescent="0.2">
      <c r="K186" s="2"/>
      <c r="M186" s="2"/>
      <c r="O186" s="2"/>
    </row>
    <row r="187" spans="11:19" x14ac:dyDescent="0.2">
      <c r="K187" s="2"/>
      <c r="M187" s="2"/>
      <c r="O187" s="2"/>
    </row>
    <row r="188" spans="11:19" x14ac:dyDescent="0.2">
      <c r="K188" s="2"/>
      <c r="M188" s="2"/>
      <c r="O188" s="2"/>
    </row>
    <row r="189" spans="11:19" x14ac:dyDescent="0.2">
      <c r="K189" s="2"/>
      <c r="M189" s="2"/>
      <c r="O189" s="2"/>
    </row>
    <row r="190" spans="11:19" x14ac:dyDescent="0.2">
      <c r="K190" s="2"/>
      <c r="M190" s="2"/>
      <c r="O190" s="2"/>
    </row>
    <row r="191" spans="11:19" x14ac:dyDescent="0.2">
      <c r="M191" s="2"/>
      <c r="O191" s="2"/>
    </row>
    <row r="192" spans="11:19" x14ac:dyDescent="0.2">
      <c r="M192" s="2"/>
      <c r="O192" s="2"/>
    </row>
    <row r="193" spans="13:15" x14ac:dyDescent="0.2">
      <c r="M193" s="2"/>
      <c r="O193" s="2"/>
    </row>
    <row r="194" spans="13:15" x14ac:dyDescent="0.2">
      <c r="M194" s="2"/>
      <c r="O194" s="2"/>
    </row>
    <row r="195" spans="13:15" x14ac:dyDescent="0.2">
      <c r="M195" s="2"/>
      <c r="O195" s="2"/>
    </row>
    <row r="196" spans="13:15" x14ac:dyDescent="0.2">
      <c r="M196" s="2"/>
      <c r="O196" s="2"/>
    </row>
    <row r="197" spans="13:15" x14ac:dyDescent="0.2">
      <c r="M197" s="2"/>
      <c r="O197" s="2"/>
    </row>
    <row r="198" spans="13:15" x14ac:dyDescent="0.2">
      <c r="M198" s="2"/>
      <c r="O198" s="2"/>
    </row>
    <row r="199" spans="13:15" x14ac:dyDescent="0.2">
      <c r="M199" s="2"/>
      <c r="O199" s="2"/>
    </row>
    <row r="200" spans="13:15" x14ac:dyDescent="0.2">
      <c r="M200" s="2"/>
      <c r="O200" s="2"/>
    </row>
    <row r="201" spans="13:15" x14ac:dyDescent="0.2">
      <c r="M201" s="2"/>
      <c r="O201" s="2"/>
    </row>
    <row r="202" spans="13:15" x14ac:dyDescent="0.2">
      <c r="M202" s="2"/>
    </row>
    <row r="203" spans="13:15" x14ac:dyDescent="0.2">
      <c r="M203" s="2"/>
    </row>
    <row r="204" spans="13:15" x14ac:dyDescent="0.2">
      <c r="M204" s="2"/>
    </row>
    <row r="205" spans="13:15" x14ac:dyDescent="0.2">
      <c r="M205" s="2"/>
    </row>
    <row r="206" spans="13:15" x14ac:dyDescent="0.2">
      <c r="M206" s="2"/>
    </row>
    <row r="207" spans="13:15" x14ac:dyDescent="0.2">
      <c r="M207" s="2"/>
    </row>
    <row r="208" spans="13:15" x14ac:dyDescent="0.2">
      <c r="M208" s="2"/>
    </row>
    <row r="209" spans="13:13" x14ac:dyDescent="0.2">
      <c r="M209" s="2"/>
    </row>
    <row r="210" spans="13:13" x14ac:dyDescent="0.2">
      <c r="M210" s="2"/>
    </row>
    <row r="211" spans="13:13" x14ac:dyDescent="0.2">
      <c r="M211" s="2"/>
    </row>
    <row r="212" spans="13:13" x14ac:dyDescent="0.2">
      <c r="M212" s="2"/>
    </row>
    <row r="213" spans="13:13" x14ac:dyDescent="0.2">
      <c r="M213" s="2"/>
    </row>
    <row r="214" spans="13:13" x14ac:dyDescent="0.2">
      <c r="M214" s="2"/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Rønnebek Hansen</dc:creator>
  <cp:lastModifiedBy>Thomas Rønnebek Hansen</cp:lastModifiedBy>
  <dcterms:created xsi:type="dcterms:W3CDTF">2026-03-17T13:24:26Z</dcterms:created>
  <dcterms:modified xsi:type="dcterms:W3CDTF">2026-03-17T13:24:50Z</dcterms:modified>
</cp:coreProperties>
</file>