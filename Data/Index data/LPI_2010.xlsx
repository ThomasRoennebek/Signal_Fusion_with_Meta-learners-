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/Desktop/Master Thesis/Data/Index data/"/>
    </mc:Choice>
  </mc:AlternateContent>
  <xr:revisionPtr revIDLastSave="0" documentId="8_{696CA9AB-940D-4049-BA47-35E96924BA8E}" xr6:coauthVersionLast="47" xr6:coauthVersionMax="47" xr10:uidLastSave="{00000000-0000-0000-0000-000000000000}"/>
  <bookViews>
    <workbookView xWindow="0" yWindow="600" windowWidth="51200" windowHeight="27140" xr2:uid="{091681FB-FB50-B349-8718-BCB9F2EA13E5}"/>
  </bookViews>
  <sheets>
    <sheet name="2010" sheetId="2" r:id="rId1"/>
  </sheets>
  <definedNames>
    <definedName name="_xlnm._FilterDatabase" localSheetId="0" hidden="1">'2010'!$A$3:$U$3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</calcChain>
</file>

<file path=xl/sharedStrings.xml><?xml version="1.0" encoding="utf-8"?>
<sst xmlns="http://schemas.openxmlformats.org/spreadsheetml/2006/main" count="339" uniqueCount="325">
  <si>
    <t>SOM</t>
  </si>
  <si>
    <t>Somalia</t>
  </si>
  <si>
    <t>ERI</t>
  </si>
  <si>
    <t>Eritrea</t>
  </si>
  <si>
    <t>SLE</t>
  </si>
  <si>
    <t>Sierra Leone</t>
  </si>
  <si>
    <t>NAM</t>
  </si>
  <si>
    <t>Namibia</t>
  </si>
  <si>
    <t>RWA</t>
  </si>
  <si>
    <t>Rwanda</t>
  </si>
  <si>
    <t>CUB</t>
  </si>
  <si>
    <t>Cuba</t>
  </si>
  <si>
    <t>GNB</t>
  </si>
  <si>
    <t>Guinea-Bissau</t>
  </si>
  <si>
    <t>IRQ</t>
  </si>
  <si>
    <t>Iraq</t>
  </si>
  <si>
    <t>NPL</t>
  </si>
  <si>
    <t>Nepal</t>
  </si>
  <si>
    <t>SDN</t>
  </si>
  <si>
    <t>Sudan</t>
  </si>
  <si>
    <t>BFA</t>
  </si>
  <si>
    <t>Burkina Faso</t>
  </si>
  <si>
    <t>FJI</t>
  </si>
  <si>
    <t>Fiji</t>
  </si>
  <si>
    <t>AFG</t>
  </si>
  <si>
    <t>Afghanistan</t>
  </si>
  <si>
    <t>AGO</t>
  </si>
  <si>
    <t>Angola</t>
  </si>
  <si>
    <t>MNG</t>
  </si>
  <si>
    <t>Mongolia</t>
  </si>
  <si>
    <t>GUY</t>
  </si>
  <si>
    <t>Guyana</t>
  </si>
  <si>
    <t>MLI</t>
  </si>
  <si>
    <t>Mali</t>
  </si>
  <si>
    <t>ZMB</t>
  </si>
  <si>
    <t>Zambia</t>
  </si>
  <si>
    <t>LKA</t>
  </si>
  <si>
    <t>Sri Lanka</t>
  </si>
  <si>
    <t>MOZ</t>
  </si>
  <si>
    <t>Mozambique</t>
  </si>
  <si>
    <t>SLB</t>
  </si>
  <si>
    <t>Solomon Islands</t>
  </si>
  <si>
    <t>BWA</t>
  </si>
  <si>
    <t>Botswana</t>
  </si>
  <si>
    <t>MMR</t>
  </si>
  <si>
    <t>Myanmar</t>
  </si>
  <si>
    <t>LBY</t>
  </si>
  <si>
    <t>Libya</t>
  </si>
  <si>
    <t>TJK</t>
  </si>
  <si>
    <t>Tajikistan</t>
  </si>
  <si>
    <t>DZA</t>
  </si>
  <si>
    <t>Algeria</t>
  </si>
  <si>
    <t>KHM</t>
  </si>
  <si>
    <t>Cambodia</t>
  </si>
  <si>
    <t>BTN</t>
  </si>
  <si>
    <t>Bhutan</t>
  </si>
  <si>
    <t>LBR</t>
  </si>
  <si>
    <t>Liberia</t>
  </si>
  <si>
    <t>DJI</t>
  </si>
  <si>
    <t>Djibouti</t>
  </si>
  <si>
    <t>MDV</t>
  </si>
  <si>
    <t>Maldives</t>
  </si>
  <si>
    <t>PNG</t>
  </si>
  <si>
    <t>Papua New Guinea</t>
  </si>
  <si>
    <t>ETH</t>
  </si>
  <si>
    <t>Ethiopia</t>
  </si>
  <si>
    <t>GAB</t>
  </si>
  <si>
    <t>Gabon</t>
  </si>
  <si>
    <t>MNE</t>
  </si>
  <si>
    <t>Montenegro</t>
  </si>
  <si>
    <t>COM</t>
  </si>
  <si>
    <t>Comoros</t>
  </si>
  <si>
    <t>ALB</t>
  </si>
  <si>
    <t>Albania</t>
  </si>
  <si>
    <t>LAO</t>
  </si>
  <si>
    <t>Lao PDR</t>
  </si>
  <si>
    <t>GHA</t>
  </si>
  <si>
    <t>Ghana</t>
  </si>
  <si>
    <t>COG</t>
  </si>
  <si>
    <t>Congo, Rep.</t>
  </si>
  <si>
    <t>TCD</t>
  </si>
  <si>
    <t>Chad</t>
  </si>
  <si>
    <t>TKM</t>
  </si>
  <si>
    <t>Turkmenistan</t>
  </si>
  <si>
    <t>GMB</t>
  </si>
  <si>
    <t>Gambia, The</t>
  </si>
  <si>
    <t>BOL</t>
  </si>
  <si>
    <t>Bolivia</t>
  </si>
  <si>
    <t>ARM</t>
  </si>
  <si>
    <t>Armenia</t>
  </si>
  <si>
    <t>PAK</t>
  </si>
  <si>
    <t>Pakistan</t>
  </si>
  <si>
    <t>CIV</t>
  </si>
  <si>
    <t>Côte d'Ivoire</t>
  </si>
  <si>
    <t>JAM</t>
  </si>
  <si>
    <t>Jamaica</t>
  </si>
  <si>
    <t>NIC</t>
  </si>
  <si>
    <t>Nicaragua</t>
  </si>
  <si>
    <t>NER</t>
  </si>
  <si>
    <t>Niger</t>
  </si>
  <si>
    <t>CMR</t>
  </si>
  <si>
    <t>Cameroon</t>
  </si>
  <si>
    <t>MDA</t>
  </si>
  <si>
    <t>Moldova</t>
  </si>
  <si>
    <t>IRN</t>
  </si>
  <si>
    <t>Iran, Islamic Rep.</t>
  </si>
  <si>
    <t>UKR</t>
  </si>
  <si>
    <t>Ukraine</t>
  </si>
  <si>
    <t>YEM</t>
  </si>
  <si>
    <t>Yemen, Rep.</t>
  </si>
  <si>
    <t>NGA</t>
  </si>
  <si>
    <t>Nigeria</t>
  </si>
  <si>
    <t>KEN</t>
  </si>
  <si>
    <t>Kenya</t>
  </si>
  <si>
    <t>HTI</t>
  </si>
  <si>
    <t>Haiti</t>
  </si>
  <si>
    <t>GIN</t>
  </si>
  <si>
    <t>Guinea</t>
  </si>
  <si>
    <t>TGO</t>
  </si>
  <si>
    <t>Togo</t>
  </si>
  <si>
    <t>TZA</t>
  </si>
  <si>
    <t>Tanzania</t>
  </si>
  <si>
    <t>RUS</t>
  </si>
  <si>
    <t>Russian Federation</t>
  </si>
  <si>
    <t>GEO</t>
  </si>
  <si>
    <t>Georgia</t>
  </si>
  <si>
    <t>EGY</t>
  </si>
  <si>
    <t>Egypt, Arab Rep.</t>
  </si>
  <si>
    <t>KGZ</t>
  </si>
  <si>
    <t>Kyrgyz Republic</t>
  </si>
  <si>
    <t>GTM</t>
  </si>
  <si>
    <t>Guatemala</t>
  </si>
  <si>
    <t>AZE</t>
  </si>
  <si>
    <t>Azerbaijan</t>
  </si>
  <si>
    <t>MDG</t>
  </si>
  <si>
    <t>Madagascar</t>
  </si>
  <si>
    <t>BIH</t>
  </si>
  <si>
    <t>Bosnia and Herzegovina</t>
  </si>
  <si>
    <t>SLV</t>
  </si>
  <si>
    <t>El Salvador</t>
  </si>
  <si>
    <t>ZAR</t>
  </si>
  <si>
    <t>Congo, Dem. Rep.</t>
  </si>
  <si>
    <t>VEN</t>
  </si>
  <si>
    <t>Venezuela, RB</t>
  </si>
  <si>
    <t>SRB</t>
  </si>
  <si>
    <t>Serbia</t>
  </si>
  <si>
    <t>MUS</t>
  </si>
  <si>
    <t>Mauritius</t>
  </si>
  <si>
    <t>JOR</t>
  </si>
  <si>
    <t>Jordan</t>
  </si>
  <si>
    <t>SYR</t>
  </si>
  <si>
    <t>Syrian Arab Republic</t>
  </si>
  <si>
    <t>BGD</t>
  </si>
  <si>
    <t>Bangladesh</t>
  </si>
  <si>
    <t>BHS</t>
  </si>
  <si>
    <t>Bahamas, The</t>
  </si>
  <si>
    <t>URY</t>
  </si>
  <si>
    <t>Uruguay</t>
  </si>
  <si>
    <t>PRY</t>
  </si>
  <si>
    <t>Paraguay</t>
  </si>
  <si>
    <t>IDN</t>
  </si>
  <si>
    <t>Indonesia</t>
  </si>
  <si>
    <t>HRV</t>
  </si>
  <si>
    <t>Croatia</t>
  </si>
  <si>
    <t>MKD</t>
  </si>
  <si>
    <t>Macedonia, FYR</t>
  </si>
  <si>
    <t>COL</t>
  </si>
  <si>
    <t>Colombia</t>
  </si>
  <si>
    <t>ECU</t>
  </si>
  <si>
    <t>Ecuador</t>
  </si>
  <si>
    <t>HND</t>
  </si>
  <si>
    <t>Honduras</t>
  </si>
  <si>
    <t>BEN</t>
  </si>
  <si>
    <t>Benin</t>
  </si>
  <si>
    <t>UZB</t>
  </si>
  <si>
    <t>Uzbekistan</t>
  </si>
  <si>
    <t>PER</t>
  </si>
  <si>
    <t>Peru</t>
  </si>
  <si>
    <t>UGA</t>
  </si>
  <si>
    <t>Uganda</t>
  </si>
  <si>
    <t>DOM</t>
  </si>
  <si>
    <t>Dominican Republic</t>
  </si>
  <si>
    <t>MLT</t>
  </si>
  <si>
    <t>Malta</t>
  </si>
  <si>
    <t>BGR</t>
  </si>
  <si>
    <t>Bulgaria</t>
  </si>
  <si>
    <t>KAZ</t>
  </si>
  <si>
    <t>Kazakhstan</t>
  </si>
  <si>
    <t>TUN</t>
  </si>
  <si>
    <t>Tunisia</t>
  </si>
  <si>
    <t>OMN</t>
  </si>
  <si>
    <t>Oman</t>
  </si>
  <si>
    <t>ROM</t>
  </si>
  <si>
    <t>Romania</t>
  </si>
  <si>
    <t>SEN</t>
  </si>
  <si>
    <t>Senegal</t>
  </si>
  <si>
    <t>SVN</t>
  </si>
  <si>
    <t>Slovenia</t>
  </si>
  <si>
    <t>CRI</t>
  </si>
  <si>
    <t>Costa Rica</t>
  </si>
  <si>
    <t>QAT</t>
  </si>
  <si>
    <t>Qatar</t>
  </si>
  <si>
    <t>GRC</t>
  </si>
  <si>
    <t>Greece</t>
  </si>
  <si>
    <t>VNM</t>
  </si>
  <si>
    <t>Vietnam</t>
  </si>
  <si>
    <t>HUN</t>
  </si>
  <si>
    <t>Hungary</t>
  </si>
  <si>
    <t>PAN</t>
  </si>
  <si>
    <t>Panama</t>
  </si>
  <si>
    <t>MEX</t>
  </si>
  <si>
    <t>Mexico</t>
  </si>
  <si>
    <t>CHL</t>
  </si>
  <si>
    <t>Chile</t>
  </si>
  <si>
    <t>ARG</t>
  </si>
  <si>
    <t>Argentina</t>
  </si>
  <si>
    <t>IND</t>
  </si>
  <si>
    <t>India</t>
  </si>
  <si>
    <t>CYP</t>
  </si>
  <si>
    <t>Cyprus</t>
  </si>
  <si>
    <t>LTU</t>
  </si>
  <si>
    <t>Lithuania</t>
  </si>
  <si>
    <t>PHL</t>
  </si>
  <si>
    <t>Philippines</t>
  </si>
  <si>
    <t>EST</t>
  </si>
  <si>
    <t>Estonia</t>
  </si>
  <si>
    <t>ISL</t>
  </si>
  <si>
    <t>Iceland</t>
  </si>
  <si>
    <t>BRA</t>
  </si>
  <si>
    <t>Brazil</t>
  </si>
  <si>
    <t>SAU</t>
  </si>
  <si>
    <t>Saudi Arabia</t>
  </si>
  <si>
    <t>TUR</t>
  </si>
  <si>
    <t>Turkey</t>
  </si>
  <si>
    <t>SVK</t>
  </si>
  <si>
    <t>Slovak Republic</t>
  </si>
  <si>
    <t>LVA</t>
  </si>
  <si>
    <t>Latvia</t>
  </si>
  <si>
    <t>KWT</t>
  </si>
  <si>
    <t>Kuwait</t>
  </si>
  <si>
    <t>THA</t>
  </si>
  <si>
    <t>Thailand</t>
  </si>
  <si>
    <t>PRT</t>
  </si>
  <si>
    <t>Portugal</t>
  </si>
  <si>
    <t>LBN</t>
  </si>
  <si>
    <t>Lebanon</t>
  </si>
  <si>
    <t>BHR</t>
  </si>
  <si>
    <t>Bahrain</t>
  </si>
  <si>
    <t>ISR</t>
  </si>
  <si>
    <t>Israel</t>
  </si>
  <si>
    <t>POL</t>
  </si>
  <si>
    <t>Poland</t>
  </si>
  <si>
    <t>MYS</t>
  </si>
  <si>
    <t>Malaysia</t>
  </si>
  <si>
    <t>ZAF</t>
  </si>
  <si>
    <t>South Africa</t>
  </si>
  <si>
    <t>CHN</t>
  </si>
  <si>
    <t>China</t>
  </si>
  <si>
    <t>CZE</t>
  </si>
  <si>
    <t>Czech Republic</t>
  </si>
  <si>
    <t>ESP</t>
  </si>
  <si>
    <t>Spain</t>
  </si>
  <si>
    <t>ARE</t>
  </si>
  <si>
    <t>United Arab Emirates</t>
  </si>
  <si>
    <t>KOR</t>
  </si>
  <si>
    <t>Korea, Rep.</t>
  </si>
  <si>
    <t>ITA</t>
  </si>
  <si>
    <t>Italy</t>
  </si>
  <si>
    <t>NZL</t>
  </si>
  <si>
    <t>New Zealand</t>
  </si>
  <si>
    <t>TWN</t>
  </si>
  <si>
    <t>Taiwan</t>
  </si>
  <si>
    <t>AUT</t>
  </si>
  <si>
    <t>Austria</t>
  </si>
  <si>
    <t>AUS</t>
  </si>
  <si>
    <t>Australia</t>
  </si>
  <si>
    <t>FRA</t>
  </si>
  <si>
    <t>France</t>
  </si>
  <si>
    <t>DNK</t>
  </si>
  <si>
    <t>Denmark</t>
  </si>
  <si>
    <t>USA</t>
  </si>
  <si>
    <t>United States</t>
  </si>
  <si>
    <t>CAN</t>
  </si>
  <si>
    <t>Canada</t>
  </si>
  <si>
    <t>HKG</t>
  </si>
  <si>
    <t>Hong Kong, China</t>
  </si>
  <si>
    <t>FIN</t>
  </si>
  <si>
    <t>Finland</t>
  </si>
  <si>
    <t>IRL</t>
  </si>
  <si>
    <t>Ireland</t>
  </si>
  <si>
    <t>NOR</t>
  </si>
  <si>
    <t>Norway</t>
  </si>
  <si>
    <t>BEL</t>
  </si>
  <si>
    <t>Belgium</t>
  </si>
  <si>
    <t>GBR</t>
  </si>
  <si>
    <t>United Kingdom</t>
  </si>
  <si>
    <t>JPN</t>
  </si>
  <si>
    <t>Japan</t>
  </si>
  <si>
    <t>CHE</t>
  </si>
  <si>
    <t>Switzerland</t>
  </si>
  <si>
    <t>LUX</t>
  </si>
  <si>
    <t>Luxembourg</t>
  </si>
  <si>
    <t>NLD</t>
  </si>
  <si>
    <t>Netherlands</t>
  </si>
  <si>
    <t>SWE</t>
  </si>
  <si>
    <t>Sweden</t>
  </si>
  <si>
    <t>SGP</t>
  </si>
  <si>
    <t>Singapore</t>
  </si>
  <si>
    <t>DEU</t>
  </si>
  <si>
    <t>Germany</t>
  </si>
  <si>
    <t>rank</t>
  </si>
  <si>
    <t>score</t>
  </si>
  <si>
    <t>% of highest performer</t>
  </si>
  <si>
    <t>upper bound</t>
  </si>
  <si>
    <t>lower bound</t>
  </si>
  <si>
    <t>Code</t>
  </si>
  <si>
    <t>Country</t>
  </si>
  <si>
    <t>Timeliness</t>
  </si>
  <si>
    <t>Tracking and Tracing</t>
  </si>
  <si>
    <t>Quality Logistics Services</t>
  </si>
  <si>
    <t>International Shipments</t>
  </si>
  <si>
    <t>Infrastructure</t>
  </si>
  <si>
    <t>Customs</t>
  </si>
  <si>
    <t>overall LPI rank</t>
  </si>
  <si>
    <t>overall LPI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</si>
</sst>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2" fontId="1" fillId="0" borderId="0" xfId="1" applyNumberFormat="1" applyAlignment="1">
      <alignment horizontal="center"/>
    </xf>
    <xf numFmtId="0" fontId="2" fillId="0" borderId="0" xfId="1" applyFont="1" applyAlignment="1">
      <alignment horizontal="center"/>
    </xf>
    <xf numFmtId="0" fontId="1" fillId="0" borderId="0" xfId="1" applyAlignment="1">
      <alignment horizontal="left"/>
    </xf>
    <xf numFmtId="2" fontId="1" fillId="0" borderId="0" xfId="1" applyNumberFormat="1"/>
    <xf numFmtId="164" fontId="1" fillId="0" borderId="0" xfId="1" applyNumberFormat="1"/>
    <xf numFmtId="2" fontId="1" fillId="0" borderId="0" xfId="1" applyNumberFormat="1" applyAlignment="1">
      <alignment horizontal="left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/>
    </xf>
    <xf numFmtId="0" fontId="2" fillId="0" borderId="0" xfId="1" applyFont="1"/>
  </cellXfs>
  <cellStyles count="2">
    <cellStyle name="Normal" xfId="0" builtinId="0"/>
    <cellStyle name="Normal 2" xfId="1" xr:uid="{E2BCCA03-A667-4343-AC39-1DA68756BB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4D429-384E-0E40-BF54-A51341660AD9}">
  <dimension ref="A1:U158"/>
  <sheetViews>
    <sheetView tabSelected="1" workbookViewId="0">
      <selection activeCell="AA33" sqref="AA33"/>
    </sheetView>
  </sheetViews>
  <sheetFormatPr baseColWidth="10" defaultColWidth="8.83203125" defaultRowHeight="15" x14ac:dyDescent="0.2"/>
  <cols>
    <col min="1" max="1" width="23.5" style="5" bestFit="1" customWidth="1"/>
    <col min="2" max="2" width="7" style="5" customWidth="1"/>
    <col min="3" max="5" width="13.1640625" style="4" customWidth="1"/>
    <col min="6" max="9" width="12.1640625" style="4" customWidth="1"/>
    <col min="10" max="10" width="13.1640625" style="3" customWidth="1"/>
    <col min="11" max="11" width="12.1640625" style="2" customWidth="1"/>
    <col min="12" max="12" width="13.1640625" style="3" customWidth="1"/>
    <col min="13" max="13" width="13.83203125" style="2" customWidth="1"/>
    <col min="14" max="14" width="13.1640625" style="3" customWidth="1"/>
    <col min="15" max="15" width="12.1640625" style="2" customWidth="1"/>
    <col min="16" max="16" width="13.1640625" style="3" customWidth="1"/>
    <col min="17" max="17" width="12.1640625" style="2" customWidth="1"/>
    <col min="18" max="18" width="13.1640625" style="3" customWidth="1"/>
    <col min="19" max="19" width="12.1640625" style="2" customWidth="1"/>
    <col min="20" max="20" width="13.1640625" style="3" customWidth="1"/>
    <col min="21" max="21" width="12.1640625" style="2" customWidth="1"/>
    <col min="22" max="16384" width="8.83203125" style="1"/>
  </cols>
  <sheetData>
    <row r="1" spans="1:21" ht="42" x14ac:dyDescent="0.2">
      <c r="C1" s="13" t="s">
        <v>324</v>
      </c>
      <c r="D1" s="13"/>
      <c r="E1" s="13"/>
      <c r="F1" s="13" t="s">
        <v>323</v>
      </c>
      <c r="G1" s="13"/>
      <c r="H1" s="13"/>
      <c r="J1" s="9" t="s">
        <v>322</v>
      </c>
      <c r="K1" s="9"/>
      <c r="L1" s="9" t="s">
        <v>321</v>
      </c>
      <c r="M1" s="9"/>
      <c r="N1" s="9" t="s">
        <v>320</v>
      </c>
      <c r="O1" s="9"/>
      <c r="P1" s="9" t="s">
        <v>319</v>
      </c>
      <c r="Q1" s="9"/>
      <c r="R1" s="9" t="s">
        <v>318</v>
      </c>
      <c r="S1" s="9"/>
      <c r="T1" s="9" t="s">
        <v>317</v>
      </c>
      <c r="U1" s="9"/>
    </row>
    <row r="2" spans="1:21" x14ac:dyDescent="0.2">
      <c r="A2" s="9"/>
      <c r="C2" s="12"/>
      <c r="D2" s="12"/>
      <c r="E2" s="12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pans="1:21" x14ac:dyDescent="0.2">
      <c r="A3" s="11" t="s">
        <v>316</v>
      </c>
      <c r="B3" s="9" t="s">
        <v>315</v>
      </c>
      <c r="C3" s="10" t="s">
        <v>311</v>
      </c>
      <c r="D3" s="10" t="s">
        <v>314</v>
      </c>
      <c r="E3" s="10" t="s">
        <v>313</v>
      </c>
      <c r="F3" s="10" t="s">
        <v>310</v>
      </c>
      <c r="G3" s="10" t="s">
        <v>314</v>
      </c>
      <c r="H3" s="10" t="s">
        <v>313</v>
      </c>
      <c r="I3" s="10" t="s">
        <v>312</v>
      </c>
      <c r="J3" s="9" t="s">
        <v>311</v>
      </c>
      <c r="K3" s="9" t="s">
        <v>310</v>
      </c>
      <c r="L3" s="9" t="s">
        <v>311</v>
      </c>
      <c r="M3" s="9" t="s">
        <v>310</v>
      </c>
      <c r="N3" s="9" t="s">
        <v>311</v>
      </c>
      <c r="O3" s="9" t="s">
        <v>310</v>
      </c>
      <c r="P3" s="9" t="s">
        <v>311</v>
      </c>
      <c r="Q3" s="9" t="s">
        <v>310</v>
      </c>
      <c r="R3" s="9" t="s">
        <v>311</v>
      </c>
      <c r="S3" s="9" t="s">
        <v>310</v>
      </c>
      <c r="T3" s="9" t="s">
        <v>311</v>
      </c>
      <c r="U3" s="9" t="s">
        <v>310</v>
      </c>
    </row>
    <row r="4" spans="1:21" x14ac:dyDescent="0.2">
      <c r="A4" s="5" t="s">
        <v>309</v>
      </c>
      <c r="B4" s="5" t="s">
        <v>308</v>
      </c>
      <c r="C4" s="3">
        <v>4.1144499999999997</v>
      </c>
      <c r="D4" s="8">
        <v>4.0667669999999996</v>
      </c>
      <c r="E4" s="8">
        <v>4.1621329999999999</v>
      </c>
      <c r="F4" s="2">
        <v>1</v>
      </c>
      <c r="G4" s="5">
        <v>1</v>
      </c>
      <c r="H4" s="5">
        <v>4</v>
      </c>
      <c r="I4" s="7">
        <f>(C4-1)*100/($C$4-1)</f>
        <v>100</v>
      </c>
      <c r="J4" s="6">
        <v>4.0027499999999998</v>
      </c>
      <c r="K4" s="1">
        <v>3</v>
      </c>
      <c r="L4" s="6">
        <v>4.3361879999999999</v>
      </c>
      <c r="M4" s="1">
        <v>1</v>
      </c>
      <c r="N4" s="6">
        <v>3.6564939999999999</v>
      </c>
      <c r="O4" s="1">
        <v>9</v>
      </c>
      <c r="P4" s="6">
        <v>4.1382469999999998</v>
      </c>
      <c r="Q4" s="1">
        <v>4</v>
      </c>
      <c r="R4" s="6">
        <v>4.1836729999999998</v>
      </c>
      <c r="S4" s="1">
        <v>4</v>
      </c>
      <c r="T4" s="6">
        <v>4.4829169999999996</v>
      </c>
      <c r="U4" s="1">
        <v>3</v>
      </c>
    </row>
    <row r="5" spans="1:21" x14ac:dyDescent="0.2">
      <c r="A5" s="5" t="s">
        <v>307</v>
      </c>
      <c r="B5" s="5" t="s">
        <v>306</v>
      </c>
      <c r="C5" s="3">
        <v>4.0900850000000002</v>
      </c>
      <c r="D5" s="8">
        <v>4.0132630000000002</v>
      </c>
      <c r="E5" s="8">
        <v>4.166906</v>
      </c>
      <c r="F5" s="2">
        <v>2</v>
      </c>
      <c r="G5" s="5">
        <v>1</v>
      </c>
      <c r="H5" s="5">
        <v>4</v>
      </c>
      <c r="I5" s="7">
        <f>(C5-1)*100/($C$4-1)</f>
        <v>99.2176788839121</v>
      </c>
      <c r="J5" s="6">
        <v>4.0242129999999996</v>
      </c>
      <c r="K5" s="1">
        <v>2</v>
      </c>
      <c r="L5" s="6">
        <v>4.2178810000000002</v>
      </c>
      <c r="M5" s="1">
        <v>4</v>
      </c>
      <c r="N5" s="6">
        <v>3.861348</v>
      </c>
      <c r="O5" s="1">
        <v>1</v>
      </c>
      <c r="P5" s="6">
        <v>4.1200159999999997</v>
      </c>
      <c r="Q5" s="1">
        <v>6</v>
      </c>
      <c r="R5" s="6">
        <v>4.1461540000000001</v>
      </c>
      <c r="S5" s="1">
        <v>6</v>
      </c>
      <c r="T5" s="6">
        <v>4.2323449999999996</v>
      </c>
      <c r="U5" s="1">
        <v>14</v>
      </c>
    </row>
    <row r="6" spans="1:21" x14ac:dyDescent="0.2">
      <c r="A6" s="5" t="s">
        <v>305</v>
      </c>
      <c r="B6" s="5" t="s">
        <v>304</v>
      </c>
      <c r="C6" s="3">
        <v>4.0755759999999999</v>
      </c>
      <c r="D6" s="8">
        <v>3.904846</v>
      </c>
      <c r="E6" s="8">
        <v>4.2463069999999998</v>
      </c>
      <c r="F6" s="2">
        <v>3</v>
      </c>
      <c r="G6" s="5">
        <v>1</v>
      </c>
      <c r="H6" s="5">
        <v>10</v>
      </c>
      <c r="I6" s="7">
        <f>(C6-1)*100/($C$4-1)</f>
        <v>98.751818138034011</v>
      </c>
      <c r="J6" s="6">
        <v>3.875</v>
      </c>
      <c r="K6" s="1">
        <v>5</v>
      </c>
      <c r="L6" s="6">
        <v>4.0275299999999996</v>
      </c>
      <c r="M6" s="1">
        <v>10</v>
      </c>
      <c r="N6" s="6">
        <v>3.8331789999999999</v>
      </c>
      <c r="O6" s="1">
        <v>2</v>
      </c>
      <c r="P6" s="6">
        <v>4.2186190000000003</v>
      </c>
      <c r="Q6" s="1">
        <v>2</v>
      </c>
      <c r="R6" s="6">
        <v>4.2186190000000003</v>
      </c>
      <c r="S6" s="1">
        <v>3</v>
      </c>
      <c r="T6" s="6">
        <v>4.3238830000000004</v>
      </c>
      <c r="U6" s="1">
        <v>11</v>
      </c>
    </row>
    <row r="7" spans="1:21" x14ac:dyDescent="0.2">
      <c r="A7" s="5" t="s">
        <v>303</v>
      </c>
      <c r="B7" s="5" t="s">
        <v>302</v>
      </c>
      <c r="C7" s="3">
        <v>4.0686150000000003</v>
      </c>
      <c r="D7" s="8">
        <v>4.000146</v>
      </c>
      <c r="E7" s="8">
        <v>4.1370839999999998</v>
      </c>
      <c r="F7" s="2">
        <v>4</v>
      </c>
      <c r="G7" s="5">
        <v>1</v>
      </c>
      <c r="H7" s="5">
        <v>4</v>
      </c>
      <c r="I7" s="7">
        <f>(C7-1)*100/($C$4-1)</f>
        <v>98.528311579893739</v>
      </c>
      <c r="J7" s="6">
        <v>3.982097</v>
      </c>
      <c r="K7" s="1">
        <v>4</v>
      </c>
      <c r="L7" s="6">
        <v>4.2488859999999997</v>
      </c>
      <c r="M7" s="1">
        <v>2</v>
      </c>
      <c r="N7" s="6">
        <v>3.6058210000000002</v>
      </c>
      <c r="O7" s="1">
        <v>11</v>
      </c>
      <c r="P7" s="6">
        <v>4.1549969999999998</v>
      </c>
      <c r="Q7" s="1">
        <v>3</v>
      </c>
      <c r="R7" s="6">
        <v>4.1208309999999999</v>
      </c>
      <c r="S7" s="1">
        <v>9</v>
      </c>
      <c r="T7" s="6">
        <v>4.4077489999999999</v>
      </c>
      <c r="U7" s="1">
        <v>6</v>
      </c>
    </row>
    <row r="8" spans="1:21" x14ac:dyDescent="0.2">
      <c r="A8" s="5" t="s">
        <v>301</v>
      </c>
      <c r="B8" s="5" t="s">
        <v>300</v>
      </c>
      <c r="C8" s="3">
        <v>3.980073</v>
      </c>
      <c r="D8" s="8">
        <v>3.679109</v>
      </c>
      <c r="E8" s="8">
        <v>4.2810360000000003</v>
      </c>
      <c r="F8" s="2">
        <v>5</v>
      </c>
      <c r="G8" s="5">
        <v>1</v>
      </c>
      <c r="H8" s="5">
        <v>20</v>
      </c>
      <c r="I8" s="7">
        <f>(C8-1)*100/($C$4-1)</f>
        <v>95.685369808473411</v>
      </c>
      <c r="J8" s="6">
        <v>4.0380240000000001</v>
      </c>
      <c r="K8" s="1">
        <v>1</v>
      </c>
      <c r="L8" s="6">
        <v>4.0584210000000001</v>
      </c>
      <c r="M8" s="1">
        <v>9</v>
      </c>
      <c r="N8" s="6">
        <v>3.6707459999999998</v>
      </c>
      <c r="O8" s="1">
        <v>7</v>
      </c>
      <c r="P8" s="6">
        <v>3.6660840000000001</v>
      </c>
      <c r="Q8" s="1">
        <v>21</v>
      </c>
      <c r="R8" s="6">
        <v>3.9160840000000001</v>
      </c>
      <c r="S8" s="1">
        <v>19</v>
      </c>
      <c r="T8" s="6">
        <v>4.5798370000000004</v>
      </c>
      <c r="U8" s="1">
        <v>1</v>
      </c>
    </row>
    <row r="9" spans="1:21" x14ac:dyDescent="0.2">
      <c r="A9" s="5" t="s">
        <v>299</v>
      </c>
      <c r="B9" s="5" t="s">
        <v>298</v>
      </c>
      <c r="C9" s="3">
        <v>3.9748139999999998</v>
      </c>
      <c r="D9" s="8">
        <v>3.8411919999999999</v>
      </c>
      <c r="E9" s="8">
        <v>4.1084360000000002</v>
      </c>
      <c r="F9" s="2">
        <v>6</v>
      </c>
      <c r="G9" s="5">
        <v>2</v>
      </c>
      <c r="H9" s="5">
        <v>17</v>
      </c>
      <c r="I9" s="7">
        <f>(C9-1)*100/($C$4-1)</f>
        <v>95.516511743646561</v>
      </c>
      <c r="J9" s="6">
        <v>3.7309960000000002</v>
      </c>
      <c r="K9" s="1">
        <v>12</v>
      </c>
      <c r="L9" s="6">
        <v>4.1699109999999999</v>
      </c>
      <c r="M9" s="1">
        <v>6</v>
      </c>
      <c r="N9" s="6">
        <v>3.320786</v>
      </c>
      <c r="O9" s="1">
        <v>25</v>
      </c>
      <c r="P9" s="6">
        <v>4.3156990000000004</v>
      </c>
      <c r="Q9" s="1">
        <v>1</v>
      </c>
      <c r="R9" s="6">
        <v>4.2728580000000003</v>
      </c>
      <c r="S9" s="1">
        <v>1</v>
      </c>
      <c r="T9" s="6">
        <v>4.2040129999999998</v>
      </c>
      <c r="U9" s="1">
        <v>15</v>
      </c>
    </row>
    <row r="10" spans="1:21" x14ac:dyDescent="0.2">
      <c r="A10" s="5" t="s">
        <v>297</v>
      </c>
      <c r="B10" s="5" t="s">
        <v>296</v>
      </c>
      <c r="C10" s="3">
        <v>3.9658890000000002</v>
      </c>
      <c r="D10" s="8">
        <v>3.905548</v>
      </c>
      <c r="E10" s="8">
        <v>4.0262289999999998</v>
      </c>
      <c r="F10" s="2">
        <v>7</v>
      </c>
      <c r="G10" s="5">
        <v>5</v>
      </c>
      <c r="H10" s="5">
        <v>10</v>
      </c>
      <c r="I10" s="7">
        <f>(C10-1)*100/($C$4-1)</f>
        <v>95.22994429192957</v>
      </c>
      <c r="J10" s="6">
        <v>3.785498</v>
      </c>
      <c r="K10" s="1">
        <v>10</v>
      </c>
      <c r="L10" s="6">
        <v>4.1881199999999996</v>
      </c>
      <c r="M10" s="1">
        <v>5</v>
      </c>
      <c r="N10" s="6">
        <v>3.5489820000000001</v>
      </c>
      <c r="O10" s="1">
        <v>12</v>
      </c>
      <c r="P10" s="6">
        <v>3.9960800000000001</v>
      </c>
      <c r="Q10" s="1">
        <v>7</v>
      </c>
      <c r="R10" s="6">
        <v>4.1288869999999998</v>
      </c>
      <c r="S10" s="1">
        <v>8</v>
      </c>
      <c r="T10" s="6">
        <v>4.2609149999999998</v>
      </c>
      <c r="U10" s="1">
        <v>13</v>
      </c>
    </row>
    <row r="11" spans="1:21" x14ac:dyDescent="0.2">
      <c r="A11" s="5" t="s">
        <v>295</v>
      </c>
      <c r="B11" s="5" t="s">
        <v>294</v>
      </c>
      <c r="C11" s="3">
        <v>3.9544489999999999</v>
      </c>
      <c r="D11" s="8">
        <v>3.8886949999999998</v>
      </c>
      <c r="E11" s="8">
        <v>4.0202020000000003</v>
      </c>
      <c r="F11" s="2">
        <v>8</v>
      </c>
      <c r="G11" s="5">
        <v>5</v>
      </c>
      <c r="H11" s="5">
        <v>11</v>
      </c>
      <c r="I11" s="7">
        <f>(C11-1)*100/($C$4-1)</f>
        <v>94.862624219364577</v>
      </c>
      <c r="J11" s="6">
        <v>3.7395870000000002</v>
      </c>
      <c r="K11" s="1">
        <v>11</v>
      </c>
      <c r="L11" s="6">
        <v>3.9474109999999998</v>
      </c>
      <c r="M11" s="1">
        <v>16</v>
      </c>
      <c r="N11" s="6">
        <v>3.6642399999999999</v>
      </c>
      <c r="O11" s="1">
        <v>8</v>
      </c>
      <c r="P11" s="6">
        <v>3.9228489999999998</v>
      </c>
      <c r="Q11" s="1">
        <v>9</v>
      </c>
      <c r="R11" s="6">
        <v>4.1330629999999999</v>
      </c>
      <c r="S11" s="1">
        <v>7</v>
      </c>
      <c r="T11" s="6">
        <v>4.3742099999999997</v>
      </c>
      <c r="U11" s="1">
        <v>8</v>
      </c>
    </row>
    <row r="12" spans="1:21" x14ac:dyDescent="0.2">
      <c r="A12" s="5" t="s">
        <v>293</v>
      </c>
      <c r="B12" s="5" t="s">
        <v>292</v>
      </c>
      <c r="C12" s="3">
        <v>3.9422630000000001</v>
      </c>
      <c r="D12" s="8">
        <v>3.8616510000000002</v>
      </c>
      <c r="E12" s="8">
        <v>4.022875</v>
      </c>
      <c r="F12" s="2">
        <v>9</v>
      </c>
      <c r="G12" s="5">
        <v>5</v>
      </c>
      <c r="H12" s="5">
        <v>14</v>
      </c>
      <c r="I12" s="7">
        <f>(C12-1)*100/($C$4-1)</f>
        <v>94.471351281927795</v>
      </c>
      <c r="J12" s="6">
        <v>3.8285979999999999</v>
      </c>
      <c r="K12" s="1">
        <v>9</v>
      </c>
      <c r="L12" s="6">
        <v>4.0096249999999998</v>
      </c>
      <c r="M12" s="1">
        <v>12</v>
      </c>
      <c r="N12" s="6">
        <v>3.3112759999999999</v>
      </c>
      <c r="O12" s="1">
        <v>26</v>
      </c>
      <c r="P12" s="6">
        <v>4.1319970000000001</v>
      </c>
      <c r="Q12" s="1">
        <v>5</v>
      </c>
      <c r="R12" s="6">
        <v>4.2206130000000002</v>
      </c>
      <c r="S12" s="1">
        <v>2</v>
      </c>
      <c r="T12" s="6">
        <v>4.28817</v>
      </c>
      <c r="U12" s="1">
        <v>12</v>
      </c>
    </row>
    <row r="13" spans="1:21" x14ac:dyDescent="0.2">
      <c r="A13" s="5" t="s">
        <v>291</v>
      </c>
      <c r="B13" s="5" t="s">
        <v>290</v>
      </c>
      <c r="C13" s="3">
        <v>3.9329969999999999</v>
      </c>
      <c r="D13" s="8">
        <v>3.7213400000000001</v>
      </c>
      <c r="E13" s="8">
        <v>4.1446540000000001</v>
      </c>
      <c r="F13" s="2">
        <v>10</v>
      </c>
      <c r="G13" s="5">
        <v>1</v>
      </c>
      <c r="H13" s="5">
        <v>19</v>
      </c>
      <c r="I13" s="7">
        <f>(C13-1)*100/($C$4-1)</f>
        <v>94.173834866509338</v>
      </c>
      <c r="J13" s="6">
        <v>3.8585859999999998</v>
      </c>
      <c r="K13" s="1">
        <v>6</v>
      </c>
      <c r="L13" s="6">
        <v>4.2222220000000004</v>
      </c>
      <c r="M13" s="1">
        <v>3</v>
      </c>
      <c r="N13" s="6">
        <v>3.3547980000000002</v>
      </c>
      <c r="O13" s="1">
        <v>24</v>
      </c>
      <c r="P13" s="6">
        <v>3.8547980000000002</v>
      </c>
      <c r="Q13" s="1">
        <v>13</v>
      </c>
      <c r="R13" s="6">
        <v>4.1010099999999996</v>
      </c>
      <c r="S13" s="1">
        <v>10</v>
      </c>
      <c r="T13" s="6">
        <v>4.3547979999999997</v>
      </c>
      <c r="U13" s="1">
        <v>10</v>
      </c>
    </row>
    <row r="14" spans="1:21" x14ac:dyDescent="0.2">
      <c r="A14" s="5" t="s">
        <v>289</v>
      </c>
      <c r="B14" s="5" t="s">
        <v>288</v>
      </c>
      <c r="C14" s="3">
        <v>3.8932120000000001</v>
      </c>
      <c r="D14" s="8">
        <v>3.7410549999999998</v>
      </c>
      <c r="E14" s="8">
        <v>4.0453700000000001</v>
      </c>
      <c r="F14" s="2">
        <v>11</v>
      </c>
      <c r="G14" s="5">
        <v>5</v>
      </c>
      <c r="H14" s="5">
        <v>19</v>
      </c>
      <c r="I14" s="7">
        <f>(C14-1)*100/($C$4-1)</f>
        <v>92.896402254009558</v>
      </c>
      <c r="J14" s="6">
        <v>3.5978279999999998</v>
      </c>
      <c r="K14" s="1">
        <v>18</v>
      </c>
      <c r="L14" s="6">
        <v>3.7641849999999999</v>
      </c>
      <c r="M14" s="1">
        <v>19</v>
      </c>
      <c r="N14" s="6">
        <v>3.7008350000000001</v>
      </c>
      <c r="O14" s="1">
        <v>5</v>
      </c>
      <c r="P14" s="6">
        <v>3.8214290000000002</v>
      </c>
      <c r="Q14" s="1">
        <v>16</v>
      </c>
      <c r="R14" s="6">
        <v>4.0166250000000003</v>
      </c>
      <c r="S14" s="1">
        <v>13</v>
      </c>
      <c r="T14" s="6">
        <v>4.4714280000000004</v>
      </c>
      <c r="U14" s="1">
        <v>4</v>
      </c>
    </row>
    <row r="15" spans="1:21" x14ac:dyDescent="0.2">
      <c r="A15" s="5" t="s">
        <v>287</v>
      </c>
      <c r="B15" s="5" t="s">
        <v>286</v>
      </c>
      <c r="C15" s="3">
        <v>3.8853149999999999</v>
      </c>
      <c r="D15" s="8">
        <v>3.739913</v>
      </c>
      <c r="E15" s="8">
        <v>4.0307180000000002</v>
      </c>
      <c r="F15" s="2">
        <v>12</v>
      </c>
      <c r="G15" s="5">
        <v>5</v>
      </c>
      <c r="H15" s="5">
        <v>19</v>
      </c>
      <c r="I15" s="7">
        <f>(C15-1)*100/($C$4-1)</f>
        <v>92.642842235386667</v>
      </c>
      <c r="J15" s="6">
        <v>3.8563529999999999</v>
      </c>
      <c r="K15" s="1">
        <v>7</v>
      </c>
      <c r="L15" s="6">
        <v>4.0814250000000003</v>
      </c>
      <c r="M15" s="1">
        <v>8</v>
      </c>
      <c r="N15" s="6">
        <v>3.4079199999999998</v>
      </c>
      <c r="O15" s="1">
        <v>19</v>
      </c>
      <c r="P15" s="6">
        <v>3.918803</v>
      </c>
      <c r="Q15" s="1">
        <v>10</v>
      </c>
      <c r="R15" s="6">
        <v>4.0909180000000003</v>
      </c>
      <c r="S15" s="1">
        <v>11</v>
      </c>
      <c r="T15" s="6">
        <v>4.0802509999999996</v>
      </c>
      <c r="U15" s="1">
        <v>25</v>
      </c>
    </row>
    <row r="16" spans="1:21" x14ac:dyDescent="0.2">
      <c r="A16" s="5" t="s">
        <v>285</v>
      </c>
      <c r="B16" s="5" t="s">
        <v>284</v>
      </c>
      <c r="C16" s="3">
        <v>3.876525</v>
      </c>
      <c r="D16" s="8">
        <v>3.7777810000000001</v>
      </c>
      <c r="E16" s="8">
        <v>3.9752689999999999</v>
      </c>
      <c r="F16" s="2">
        <v>13</v>
      </c>
      <c r="G16" s="5">
        <v>6</v>
      </c>
      <c r="H16" s="5">
        <v>18</v>
      </c>
      <c r="I16" s="7">
        <f>(C16-1)*100/($C$4-1)</f>
        <v>92.360609417393121</v>
      </c>
      <c r="J16" s="6">
        <v>3.8287270000000002</v>
      </c>
      <c r="K16" s="1">
        <v>8</v>
      </c>
      <c r="L16" s="6">
        <v>4.0031869999999996</v>
      </c>
      <c r="M16" s="1">
        <v>13</v>
      </c>
      <c r="N16" s="6">
        <v>3.6713520000000002</v>
      </c>
      <c r="O16" s="1">
        <v>6</v>
      </c>
      <c r="P16" s="6">
        <v>3.8336389999999998</v>
      </c>
      <c r="Q16" s="1">
        <v>14</v>
      </c>
      <c r="R16" s="6">
        <v>3.9415309999999999</v>
      </c>
      <c r="S16" s="1">
        <v>17</v>
      </c>
      <c r="T16" s="6">
        <v>4.0368300000000001</v>
      </c>
      <c r="U16" s="1">
        <v>26</v>
      </c>
    </row>
    <row r="17" spans="1:21" x14ac:dyDescent="0.2">
      <c r="A17" s="5" t="s">
        <v>283</v>
      </c>
      <c r="B17" s="5" t="s">
        <v>282</v>
      </c>
      <c r="C17" s="3">
        <v>3.8744529999999999</v>
      </c>
      <c r="D17" s="8">
        <v>3.7814990000000002</v>
      </c>
      <c r="E17" s="8">
        <v>3.967406</v>
      </c>
      <c r="F17" s="2">
        <v>14</v>
      </c>
      <c r="G17" s="5">
        <v>7</v>
      </c>
      <c r="H17" s="5">
        <v>18</v>
      </c>
      <c r="I17" s="7">
        <f>(C17-1)*100/($C$4-1)</f>
        <v>92.294080816837649</v>
      </c>
      <c r="J17" s="6">
        <v>3.7063670000000002</v>
      </c>
      <c r="K17" s="1">
        <v>13</v>
      </c>
      <c r="L17" s="6">
        <v>4.0270570000000001</v>
      </c>
      <c r="M17" s="1">
        <v>11</v>
      </c>
      <c r="N17" s="6">
        <v>3.243744</v>
      </c>
      <c r="O17" s="1">
        <v>32</v>
      </c>
      <c r="P17" s="6">
        <v>3.9934959999999999</v>
      </c>
      <c r="Q17" s="1">
        <v>8</v>
      </c>
      <c r="R17" s="6">
        <v>4.0050549999999996</v>
      </c>
      <c r="S17" s="1">
        <v>15</v>
      </c>
      <c r="T17" s="6">
        <v>4.4078299999999997</v>
      </c>
      <c r="U17" s="1">
        <v>5</v>
      </c>
    </row>
    <row r="18" spans="1:21" x14ac:dyDescent="0.2">
      <c r="A18" s="5" t="s">
        <v>281</v>
      </c>
      <c r="B18" s="5" t="s">
        <v>280</v>
      </c>
      <c r="C18" s="3">
        <v>3.8558110000000001</v>
      </c>
      <c r="D18" s="8">
        <v>3.8170989999999998</v>
      </c>
      <c r="E18" s="8">
        <v>3.894523</v>
      </c>
      <c r="F18" s="2">
        <v>15</v>
      </c>
      <c r="G18" s="5">
        <v>11</v>
      </c>
      <c r="H18" s="5">
        <v>18</v>
      </c>
      <c r="I18" s="7">
        <f>(C18-1)*100/($C$4-1)</f>
        <v>91.695516062226076</v>
      </c>
      <c r="J18" s="6">
        <v>3.6805460000000001</v>
      </c>
      <c r="K18" s="1">
        <v>15</v>
      </c>
      <c r="L18" s="6">
        <v>4.152495</v>
      </c>
      <c r="M18" s="1">
        <v>7</v>
      </c>
      <c r="N18" s="6">
        <v>3.2069589999999999</v>
      </c>
      <c r="O18" s="1">
        <v>36</v>
      </c>
      <c r="P18" s="6">
        <v>3.9150079999999998</v>
      </c>
      <c r="Q18" s="1">
        <v>11</v>
      </c>
      <c r="R18" s="6">
        <v>4.1686649999999998</v>
      </c>
      <c r="S18" s="1">
        <v>5</v>
      </c>
      <c r="T18" s="6">
        <v>4.1853749999999996</v>
      </c>
      <c r="U18" s="1">
        <v>16</v>
      </c>
    </row>
    <row r="19" spans="1:21" x14ac:dyDescent="0.2">
      <c r="A19" s="5" t="s">
        <v>279</v>
      </c>
      <c r="B19" s="5" t="s">
        <v>278</v>
      </c>
      <c r="C19" s="3">
        <v>3.8469410000000002</v>
      </c>
      <c r="D19" s="8">
        <v>3.6526179999999999</v>
      </c>
      <c r="E19" s="8">
        <v>4.0412650000000001</v>
      </c>
      <c r="F19" s="2">
        <v>16</v>
      </c>
      <c r="G19" s="5">
        <v>5</v>
      </c>
      <c r="H19" s="5">
        <v>20</v>
      </c>
      <c r="I19" s="7">
        <f>(C19-1)*100/($C$4-1)</f>
        <v>91.410714572396415</v>
      </c>
      <c r="J19" s="6">
        <v>3.5762870000000002</v>
      </c>
      <c r="K19" s="1">
        <v>19</v>
      </c>
      <c r="L19" s="6">
        <v>3.9860090000000001</v>
      </c>
      <c r="M19" s="1">
        <v>15</v>
      </c>
      <c r="N19" s="6">
        <v>3.4586399999999999</v>
      </c>
      <c r="O19" s="1">
        <v>16</v>
      </c>
      <c r="P19" s="6">
        <v>3.8279969999999999</v>
      </c>
      <c r="Q19" s="1">
        <v>15</v>
      </c>
      <c r="R19" s="6">
        <v>3.9413809999999998</v>
      </c>
      <c r="S19" s="1">
        <v>18</v>
      </c>
      <c r="T19" s="6">
        <v>4.3788809999999998</v>
      </c>
      <c r="U19" s="1">
        <v>7</v>
      </c>
    </row>
    <row r="20" spans="1:21" x14ac:dyDescent="0.2">
      <c r="A20" s="5" t="s">
        <v>277</v>
      </c>
      <c r="B20" s="5" t="s">
        <v>276</v>
      </c>
      <c r="C20" s="3">
        <v>3.8430219999999999</v>
      </c>
      <c r="D20" s="8">
        <v>3.7756280000000002</v>
      </c>
      <c r="E20" s="8">
        <v>3.9104160000000001</v>
      </c>
      <c r="F20" s="2">
        <v>17</v>
      </c>
      <c r="G20" s="5">
        <v>11</v>
      </c>
      <c r="H20" s="5">
        <v>18</v>
      </c>
      <c r="I20" s="7">
        <f>(C20-1)*100/($C$4-1)</f>
        <v>91.284881760824547</v>
      </c>
      <c r="J20" s="6">
        <v>3.6311619999999998</v>
      </c>
      <c r="K20" s="1">
        <v>17</v>
      </c>
      <c r="L20" s="6">
        <v>3.9982329999999999</v>
      </c>
      <c r="M20" s="1">
        <v>14</v>
      </c>
      <c r="N20" s="6">
        <v>3.300389</v>
      </c>
      <c r="O20" s="1">
        <v>28</v>
      </c>
      <c r="P20" s="6">
        <v>3.8673639999999998</v>
      </c>
      <c r="Q20" s="1">
        <v>12</v>
      </c>
      <c r="R20" s="6">
        <v>4.0106310000000001</v>
      </c>
      <c r="S20" s="1">
        <v>14</v>
      </c>
      <c r="T20" s="6">
        <v>4.3726599999999998</v>
      </c>
      <c r="U20" s="1">
        <v>9</v>
      </c>
    </row>
    <row r="21" spans="1:21" x14ac:dyDescent="0.2">
      <c r="A21" s="5" t="s">
        <v>275</v>
      </c>
      <c r="B21" s="5" t="s">
        <v>274</v>
      </c>
      <c r="C21" s="3">
        <v>3.8406150000000001</v>
      </c>
      <c r="D21" s="8">
        <v>3.7322099999999998</v>
      </c>
      <c r="E21" s="8">
        <v>3.94902</v>
      </c>
      <c r="F21" s="2">
        <v>18</v>
      </c>
      <c r="G21" s="5">
        <v>9</v>
      </c>
      <c r="H21" s="5">
        <v>19</v>
      </c>
      <c r="I21" s="7">
        <f>(C21-1)*100/($C$4-1)</f>
        <v>91.20759684695534</v>
      </c>
      <c r="J21" s="6">
        <v>3.6829269999999998</v>
      </c>
      <c r="K21" s="1">
        <v>14</v>
      </c>
      <c r="L21" s="6">
        <v>3.7833429999999999</v>
      </c>
      <c r="M21" s="1">
        <v>18</v>
      </c>
      <c r="N21" s="6">
        <v>3.7816380000000001</v>
      </c>
      <c r="O21" s="1">
        <v>3</v>
      </c>
      <c r="P21" s="6">
        <v>3.7676050000000001</v>
      </c>
      <c r="Q21" s="1">
        <v>17</v>
      </c>
      <c r="R21" s="6">
        <v>3.8685939999999999</v>
      </c>
      <c r="S21" s="1">
        <v>20</v>
      </c>
      <c r="T21" s="6">
        <v>4.1575930000000003</v>
      </c>
      <c r="U21" s="1">
        <v>18</v>
      </c>
    </row>
    <row r="22" spans="1:21" x14ac:dyDescent="0.2">
      <c r="A22" s="5" t="s">
        <v>273</v>
      </c>
      <c r="B22" s="5" t="s">
        <v>272</v>
      </c>
      <c r="C22" s="3">
        <v>3.7626710000000001</v>
      </c>
      <c r="D22" s="8">
        <v>3.5283609999999999</v>
      </c>
      <c r="E22" s="8">
        <v>3.9969809999999999</v>
      </c>
      <c r="F22" s="2">
        <v>19</v>
      </c>
      <c r="G22" s="5">
        <v>5</v>
      </c>
      <c r="H22" s="5">
        <v>25</v>
      </c>
      <c r="I22" s="7">
        <f>(C22-1)*100/($C$4-1)</f>
        <v>88.704939877024856</v>
      </c>
      <c r="J22" s="6">
        <v>3.490936</v>
      </c>
      <c r="K22" s="1">
        <v>20</v>
      </c>
      <c r="L22" s="6">
        <v>3.6798250000000001</v>
      </c>
      <c r="M22" s="1">
        <v>21</v>
      </c>
      <c r="N22" s="6">
        <v>3.776316</v>
      </c>
      <c r="O22" s="1">
        <v>4</v>
      </c>
      <c r="P22" s="6">
        <v>3.6983429999999999</v>
      </c>
      <c r="Q22" s="1">
        <v>20</v>
      </c>
      <c r="R22" s="6">
        <v>3.8316759999999999</v>
      </c>
      <c r="S22" s="1">
        <v>22</v>
      </c>
      <c r="T22" s="6">
        <v>4.0829300000000002</v>
      </c>
      <c r="U22" s="1">
        <v>23</v>
      </c>
    </row>
    <row r="23" spans="1:21" x14ac:dyDescent="0.2">
      <c r="A23" s="5" t="s">
        <v>271</v>
      </c>
      <c r="B23" s="5" t="s">
        <v>270</v>
      </c>
      <c r="C23" s="3">
        <v>3.7056209999999998</v>
      </c>
      <c r="D23" s="8">
        <v>3.556791</v>
      </c>
      <c r="E23" s="8">
        <v>3.8544510000000001</v>
      </c>
      <c r="F23" s="2">
        <v>20</v>
      </c>
      <c r="G23" s="5">
        <v>16</v>
      </c>
      <c r="H23" s="5">
        <v>25</v>
      </c>
      <c r="I23" s="7">
        <f>(C23-1)*100/($C$4-1)</f>
        <v>86.873155773892663</v>
      </c>
      <c r="J23" s="6">
        <v>3.3548390000000001</v>
      </c>
      <c r="K23" s="1">
        <v>25</v>
      </c>
      <c r="L23" s="6">
        <v>3.6218870000000001</v>
      </c>
      <c r="M23" s="1">
        <v>22</v>
      </c>
      <c r="N23" s="6">
        <v>3.6354359999999999</v>
      </c>
      <c r="O23" s="1">
        <v>10</v>
      </c>
      <c r="P23" s="6">
        <v>3.6481910000000002</v>
      </c>
      <c r="Q23" s="1">
        <v>22</v>
      </c>
      <c r="R23" s="6">
        <v>4.03606</v>
      </c>
      <c r="S23" s="1">
        <v>12</v>
      </c>
      <c r="T23" s="6">
        <v>3.9527269999999999</v>
      </c>
      <c r="U23" s="1">
        <v>30</v>
      </c>
    </row>
    <row r="24" spans="1:21" x14ac:dyDescent="0.2">
      <c r="A24" s="5" t="s">
        <v>269</v>
      </c>
      <c r="B24" s="5" t="s">
        <v>268</v>
      </c>
      <c r="C24" s="3">
        <v>3.6481330000000001</v>
      </c>
      <c r="D24" s="8">
        <v>3.2185000000000001</v>
      </c>
      <c r="E24" s="8">
        <v>4.0777659999999996</v>
      </c>
      <c r="F24" s="2">
        <v>21</v>
      </c>
      <c r="G24" s="5">
        <v>3</v>
      </c>
      <c r="H24" s="5">
        <v>40</v>
      </c>
      <c r="I24" s="7">
        <f>(C24-1)*100/($C$4-1)</f>
        <v>85.027308192457753</v>
      </c>
      <c r="J24" s="6">
        <v>3.644444</v>
      </c>
      <c r="K24" s="1">
        <v>16</v>
      </c>
      <c r="L24" s="6">
        <v>3.5416669999999999</v>
      </c>
      <c r="M24" s="1">
        <v>26</v>
      </c>
      <c r="N24" s="6">
        <v>3.355556</v>
      </c>
      <c r="O24" s="1">
        <v>23</v>
      </c>
      <c r="P24" s="6">
        <v>3.5416669999999999</v>
      </c>
      <c r="Q24" s="1">
        <v>26</v>
      </c>
      <c r="R24" s="6">
        <v>3.6666669999999999</v>
      </c>
      <c r="S24" s="1">
        <v>25</v>
      </c>
      <c r="T24" s="6">
        <v>4.1666670000000003</v>
      </c>
      <c r="U24" s="1">
        <v>17</v>
      </c>
    </row>
    <row r="25" spans="1:21" x14ac:dyDescent="0.2">
      <c r="A25" s="5" t="s">
        <v>267</v>
      </c>
      <c r="B25" s="5" t="s">
        <v>266</v>
      </c>
      <c r="C25" s="3">
        <v>3.6443850000000002</v>
      </c>
      <c r="D25" s="8">
        <v>3.5715910000000002</v>
      </c>
      <c r="E25" s="8">
        <v>3.7171780000000001</v>
      </c>
      <c r="F25" s="2">
        <v>22</v>
      </c>
      <c r="G25" s="5">
        <v>20</v>
      </c>
      <c r="H25" s="5">
        <v>25</v>
      </c>
      <c r="I25" s="7">
        <f>(C25-1)*100/($C$4-1)</f>
        <v>84.90696591693559</v>
      </c>
      <c r="J25" s="6">
        <v>3.3819430000000001</v>
      </c>
      <c r="K25" s="1">
        <v>23</v>
      </c>
      <c r="L25" s="6">
        <v>3.7198910000000001</v>
      </c>
      <c r="M25" s="1">
        <v>20</v>
      </c>
      <c r="N25" s="6">
        <v>3.206124</v>
      </c>
      <c r="O25" s="1">
        <v>37</v>
      </c>
      <c r="P25" s="6">
        <v>3.7396310000000001</v>
      </c>
      <c r="Q25" s="1">
        <v>18</v>
      </c>
      <c r="R25" s="6">
        <v>3.8340299999999998</v>
      </c>
      <c r="S25" s="1">
        <v>21</v>
      </c>
      <c r="T25" s="6">
        <v>4.0805220000000002</v>
      </c>
      <c r="U25" s="1">
        <v>24</v>
      </c>
    </row>
    <row r="26" spans="1:21" x14ac:dyDescent="0.2">
      <c r="A26" s="5" t="s">
        <v>265</v>
      </c>
      <c r="B26" s="5" t="s">
        <v>264</v>
      </c>
      <c r="C26" s="3">
        <v>3.637197</v>
      </c>
      <c r="D26" s="8">
        <v>3.571615</v>
      </c>
      <c r="E26" s="8">
        <v>3.702779</v>
      </c>
      <c r="F26" s="2">
        <v>23</v>
      </c>
      <c r="G26" s="5">
        <v>21</v>
      </c>
      <c r="H26" s="5">
        <v>25</v>
      </c>
      <c r="I26" s="7">
        <f>(C26-1)*100/($C$4-1)</f>
        <v>84.676170752460308</v>
      </c>
      <c r="J26" s="6">
        <v>3.3302079999999998</v>
      </c>
      <c r="K26" s="1">
        <v>26</v>
      </c>
      <c r="L26" s="6">
        <v>3.6179070000000002</v>
      </c>
      <c r="M26" s="1">
        <v>23</v>
      </c>
      <c r="N26" s="6">
        <v>3.471114</v>
      </c>
      <c r="O26" s="1">
        <v>15</v>
      </c>
      <c r="P26" s="6">
        <v>3.6362030000000001</v>
      </c>
      <c r="Q26" s="1">
        <v>23</v>
      </c>
      <c r="R26" s="6">
        <v>3.828303</v>
      </c>
      <c r="S26" s="1">
        <v>23</v>
      </c>
      <c r="T26" s="6">
        <v>3.9728690000000002</v>
      </c>
      <c r="U26" s="1">
        <v>28</v>
      </c>
    </row>
    <row r="27" spans="1:21" x14ac:dyDescent="0.2">
      <c r="A27" s="5" t="s">
        <v>263</v>
      </c>
      <c r="B27" s="5" t="s">
        <v>262</v>
      </c>
      <c r="C27" s="3">
        <v>3.6303399999999999</v>
      </c>
      <c r="D27" s="8">
        <v>3.5440209999999999</v>
      </c>
      <c r="E27" s="8">
        <v>3.7166579999999998</v>
      </c>
      <c r="F27" s="2">
        <v>24</v>
      </c>
      <c r="G27" s="5">
        <v>20</v>
      </c>
      <c r="H27" s="5">
        <v>25</v>
      </c>
      <c r="I27" s="7">
        <f>(C27-1)*100/($C$4-1)</f>
        <v>84.456003467706978</v>
      </c>
      <c r="J27" s="6">
        <v>3.4892989999999999</v>
      </c>
      <c r="K27" s="1">
        <v>21</v>
      </c>
      <c r="L27" s="6">
        <v>3.807725</v>
      </c>
      <c r="M27" s="1">
        <v>17</v>
      </c>
      <c r="N27" s="6">
        <v>3.4807549999999998</v>
      </c>
      <c r="O27" s="1">
        <v>14</v>
      </c>
      <c r="P27" s="6">
        <v>3.532518</v>
      </c>
      <c r="Q27" s="1">
        <v>27</v>
      </c>
      <c r="R27" s="6">
        <v>3.580622</v>
      </c>
      <c r="S27" s="1">
        <v>28</v>
      </c>
      <c r="T27" s="6">
        <v>3.9353009999999999</v>
      </c>
      <c r="U27" s="1">
        <v>33</v>
      </c>
    </row>
    <row r="28" spans="1:21" x14ac:dyDescent="0.2">
      <c r="A28" s="5" t="s">
        <v>261</v>
      </c>
      <c r="B28" s="5" t="s">
        <v>260</v>
      </c>
      <c r="C28" s="3">
        <v>3.6255760000000001</v>
      </c>
      <c r="D28" s="8">
        <v>3.5242960000000001</v>
      </c>
      <c r="E28" s="8">
        <v>3.7268560000000002</v>
      </c>
      <c r="F28" s="2">
        <v>25</v>
      </c>
      <c r="G28" s="5">
        <v>20</v>
      </c>
      <c r="H28" s="5">
        <v>25</v>
      </c>
      <c r="I28" s="7">
        <f>(C28-1)*100/($C$4-1)</f>
        <v>84.303039059866123</v>
      </c>
      <c r="J28" s="6">
        <v>3.4675210000000001</v>
      </c>
      <c r="K28" s="1">
        <v>22</v>
      </c>
      <c r="L28" s="6">
        <v>3.5799690000000002</v>
      </c>
      <c r="M28" s="1">
        <v>25</v>
      </c>
      <c r="N28" s="6">
        <v>3.1071550000000001</v>
      </c>
      <c r="O28" s="1">
        <v>48</v>
      </c>
      <c r="P28" s="6">
        <v>3.6228720000000001</v>
      </c>
      <c r="Q28" s="1">
        <v>24</v>
      </c>
      <c r="R28" s="6">
        <v>3.955317</v>
      </c>
      <c r="S28" s="1">
        <v>16</v>
      </c>
      <c r="T28" s="6">
        <v>4.118271</v>
      </c>
      <c r="U28" s="1">
        <v>21</v>
      </c>
    </row>
    <row r="29" spans="1:21" x14ac:dyDescent="0.2">
      <c r="A29" s="5" t="s">
        <v>259</v>
      </c>
      <c r="B29" s="5" t="s">
        <v>258</v>
      </c>
      <c r="C29" s="3">
        <v>3.5065529999999998</v>
      </c>
      <c r="D29" s="8">
        <v>3.356887</v>
      </c>
      <c r="E29" s="8">
        <v>3.6562190000000001</v>
      </c>
      <c r="F29" s="2">
        <v>26</v>
      </c>
      <c r="G29" s="5">
        <v>21</v>
      </c>
      <c r="H29" s="5">
        <v>32</v>
      </c>
      <c r="I29" s="7">
        <f>(C29-1)*100/($C$4-1)</f>
        <v>80.481401210486609</v>
      </c>
      <c r="J29" s="6">
        <v>3.31324</v>
      </c>
      <c r="K29" s="1">
        <v>27</v>
      </c>
      <c r="L29" s="6">
        <v>3.2475649999999998</v>
      </c>
      <c r="M29" s="1">
        <v>34</v>
      </c>
      <c r="N29" s="6">
        <v>3.4237009999999999</v>
      </c>
      <c r="O29" s="1">
        <v>17</v>
      </c>
      <c r="P29" s="6">
        <v>3.267045</v>
      </c>
      <c r="Q29" s="1">
        <v>35</v>
      </c>
      <c r="R29" s="6">
        <v>3.6003790000000002</v>
      </c>
      <c r="S29" s="1">
        <v>27</v>
      </c>
      <c r="T29" s="6">
        <v>4.1559340000000002</v>
      </c>
      <c r="U29" s="1">
        <v>19</v>
      </c>
    </row>
    <row r="30" spans="1:21" x14ac:dyDescent="0.2">
      <c r="A30" s="5" t="s">
        <v>257</v>
      </c>
      <c r="B30" s="5" t="s">
        <v>256</v>
      </c>
      <c r="C30" s="3">
        <v>3.489039</v>
      </c>
      <c r="D30" s="8">
        <v>3.4456989999999998</v>
      </c>
      <c r="E30" s="8">
        <v>3.5323790000000002</v>
      </c>
      <c r="F30" s="2">
        <v>27</v>
      </c>
      <c r="G30" s="5">
        <v>26</v>
      </c>
      <c r="H30" s="5">
        <v>28</v>
      </c>
      <c r="I30" s="7">
        <f>(C30-1)*100/($C$4-1)</f>
        <v>79.919054728764308</v>
      </c>
      <c r="J30" s="6">
        <v>3.1624819999999998</v>
      </c>
      <c r="K30" s="1">
        <v>32</v>
      </c>
      <c r="L30" s="6">
        <v>3.5399989999999999</v>
      </c>
      <c r="M30" s="1">
        <v>27</v>
      </c>
      <c r="N30" s="6">
        <v>3.3100559999999999</v>
      </c>
      <c r="O30" s="1">
        <v>27</v>
      </c>
      <c r="P30" s="6">
        <v>3.491444</v>
      </c>
      <c r="Q30" s="1">
        <v>29</v>
      </c>
      <c r="R30" s="6">
        <v>3.5530499999999998</v>
      </c>
      <c r="S30" s="1">
        <v>30</v>
      </c>
      <c r="T30" s="6">
        <v>3.914685</v>
      </c>
      <c r="U30" s="1">
        <v>36</v>
      </c>
    </row>
    <row r="31" spans="1:21" x14ac:dyDescent="0.2">
      <c r="A31" s="5" t="s">
        <v>255</v>
      </c>
      <c r="B31" s="5" t="s">
        <v>254</v>
      </c>
      <c r="C31" s="3">
        <v>3.4567079999999999</v>
      </c>
      <c r="D31" s="8">
        <v>3.2800750000000001</v>
      </c>
      <c r="E31" s="8">
        <v>3.6333419999999998</v>
      </c>
      <c r="F31" s="2">
        <v>28</v>
      </c>
      <c r="G31" s="5">
        <v>24</v>
      </c>
      <c r="H31" s="5">
        <v>36</v>
      </c>
      <c r="I31" s="7">
        <f>(C31-1)*100/($C$4-1)</f>
        <v>78.880958114594875</v>
      </c>
      <c r="J31" s="6">
        <v>3.2177959999999999</v>
      </c>
      <c r="K31" s="1">
        <v>31</v>
      </c>
      <c r="L31" s="6">
        <v>3.4159540000000002</v>
      </c>
      <c r="M31" s="1">
        <v>29</v>
      </c>
      <c r="N31" s="6">
        <v>3.262108</v>
      </c>
      <c r="O31" s="1">
        <v>31</v>
      </c>
      <c r="P31" s="6">
        <v>3.5936750000000002</v>
      </c>
      <c r="Q31" s="1">
        <v>25</v>
      </c>
      <c r="R31" s="6">
        <v>3.726648</v>
      </c>
      <c r="S31" s="1">
        <v>24</v>
      </c>
      <c r="T31" s="6">
        <v>3.5694300000000001</v>
      </c>
      <c r="U31" s="1">
        <v>57</v>
      </c>
    </row>
    <row r="32" spans="1:21" x14ac:dyDescent="0.2">
      <c r="A32" s="5" t="s">
        <v>253</v>
      </c>
      <c r="B32" s="5" t="s">
        <v>252</v>
      </c>
      <c r="C32" s="3">
        <v>3.4409770000000002</v>
      </c>
      <c r="D32" s="8">
        <v>3.291642</v>
      </c>
      <c r="E32" s="8">
        <v>3.5903119999999999</v>
      </c>
      <c r="F32" s="2">
        <v>29</v>
      </c>
      <c r="G32" s="5">
        <v>26</v>
      </c>
      <c r="H32" s="5">
        <v>35</v>
      </c>
      <c r="I32" s="7">
        <f>(C32-1)*100/($C$4-1)</f>
        <v>78.375860906420087</v>
      </c>
      <c r="J32" s="6">
        <v>3.1050140000000002</v>
      </c>
      <c r="K32" s="1">
        <v>36</v>
      </c>
      <c r="L32" s="6">
        <v>3.5023930000000001</v>
      </c>
      <c r="M32" s="1">
        <v>28</v>
      </c>
      <c r="N32" s="6">
        <v>3.4956209999999999</v>
      </c>
      <c r="O32" s="1">
        <v>13</v>
      </c>
      <c r="P32" s="6">
        <v>3.34477</v>
      </c>
      <c r="Q32" s="1">
        <v>31</v>
      </c>
      <c r="R32" s="6">
        <v>3.324446</v>
      </c>
      <c r="S32" s="1">
        <v>41</v>
      </c>
      <c r="T32" s="6">
        <v>3.8590499999999999</v>
      </c>
      <c r="U32" s="1">
        <v>37</v>
      </c>
    </row>
    <row r="33" spans="1:21" x14ac:dyDescent="0.2">
      <c r="A33" s="5" t="s">
        <v>251</v>
      </c>
      <c r="B33" s="5" t="s">
        <v>250</v>
      </c>
      <c r="C33" s="3">
        <v>3.4352710000000002</v>
      </c>
      <c r="D33" s="8">
        <v>3.2541730000000002</v>
      </c>
      <c r="E33" s="8">
        <v>3.6163699999999999</v>
      </c>
      <c r="F33" s="2">
        <v>30</v>
      </c>
      <c r="G33" s="5">
        <v>26</v>
      </c>
      <c r="H33" s="5">
        <v>36</v>
      </c>
      <c r="I33" s="7">
        <f>(C33-1)*100/($C$4-1)</f>
        <v>78.192650387708923</v>
      </c>
      <c r="J33" s="6">
        <v>3.1228609999999999</v>
      </c>
      <c r="K33" s="1">
        <v>34</v>
      </c>
      <c r="L33" s="6">
        <v>2.9838089999999999</v>
      </c>
      <c r="M33" s="1">
        <v>43</v>
      </c>
      <c r="N33" s="6">
        <v>3.2227410000000001</v>
      </c>
      <c r="O33" s="1">
        <v>35</v>
      </c>
      <c r="P33" s="6">
        <v>3.2615859999999999</v>
      </c>
      <c r="Q33" s="1">
        <v>36</v>
      </c>
      <c r="R33" s="6">
        <v>3.45</v>
      </c>
      <c r="S33" s="1">
        <v>33</v>
      </c>
      <c r="T33" s="6">
        <v>4.5238009999999997</v>
      </c>
      <c r="U33" s="1">
        <v>2</v>
      </c>
    </row>
    <row r="34" spans="1:21" x14ac:dyDescent="0.2">
      <c r="A34" s="5" t="s">
        <v>249</v>
      </c>
      <c r="B34" s="5" t="s">
        <v>248</v>
      </c>
      <c r="C34" s="3">
        <v>3.412264</v>
      </c>
      <c r="D34" s="8">
        <v>3.1929379999999998</v>
      </c>
      <c r="E34" s="8">
        <v>3.6315900000000001</v>
      </c>
      <c r="F34" s="2">
        <v>31</v>
      </c>
      <c r="G34" s="5">
        <v>24</v>
      </c>
      <c r="H34" s="5">
        <v>42</v>
      </c>
      <c r="I34" s="7">
        <f>(C34-1)*100/($C$4-1)</f>
        <v>77.453932476039114</v>
      </c>
      <c r="J34" s="6">
        <v>3.1172979999999999</v>
      </c>
      <c r="K34" s="1">
        <v>35</v>
      </c>
      <c r="L34" s="6">
        <v>3.5968429999999998</v>
      </c>
      <c r="M34" s="1">
        <v>24</v>
      </c>
      <c r="N34" s="6">
        <v>3.1656569999999999</v>
      </c>
      <c r="O34" s="1">
        <v>42</v>
      </c>
      <c r="P34" s="6">
        <v>3.49899</v>
      </c>
      <c r="Q34" s="1">
        <v>28</v>
      </c>
      <c r="R34" s="6">
        <v>3.3878789999999999</v>
      </c>
      <c r="S34" s="1">
        <v>38</v>
      </c>
      <c r="T34" s="6">
        <v>3.7733840000000001</v>
      </c>
      <c r="U34" s="1">
        <v>46</v>
      </c>
    </row>
    <row r="35" spans="1:21" x14ac:dyDescent="0.2">
      <c r="A35" s="5" t="s">
        <v>247</v>
      </c>
      <c r="B35" s="5" t="s">
        <v>246</v>
      </c>
      <c r="C35" s="3">
        <v>3.3728379999999998</v>
      </c>
      <c r="D35" s="8">
        <v>3.2166190000000001</v>
      </c>
      <c r="E35" s="8">
        <v>3.529058</v>
      </c>
      <c r="F35" s="2">
        <v>32</v>
      </c>
      <c r="G35" s="5">
        <v>26</v>
      </c>
      <c r="H35" s="5">
        <v>40</v>
      </c>
      <c r="I35" s="7">
        <f>(C35-1)*100/($C$4-1)</f>
        <v>76.188026778403895</v>
      </c>
      <c r="J35" s="6">
        <v>3.0530300000000001</v>
      </c>
      <c r="K35" s="1">
        <v>37</v>
      </c>
      <c r="L35" s="6">
        <v>3.356061</v>
      </c>
      <c r="M35" s="1">
        <v>30</v>
      </c>
      <c r="N35" s="6">
        <v>3.0545450000000001</v>
      </c>
      <c r="O35" s="1">
        <v>54</v>
      </c>
      <c r="P35" s="6">
        <v>3.356061</v>
      </c>
      <c r="Q35" s="1">
        <v>30</v>
      </c>
      <c r="R35" s="6">
        <v>3.6287880000000001</v>
      </c>
      <c r="S35" s="1">
        <v>26</v>
      </c>
      <c r="T35" s="6">
        <v>3.8508589999999998</v>
      </c>
      <c r="U35" s="1">
        <v>39</v>
      </c>
    </row>
    <row r="36" spans="1:21" x14ac:dyDescent="0.2">
      <c r="A36" s="5" t="s">
        <v>245</v>
      </c>
      <c r="B36" s="5" t="s">
        <v>244</v>
      </c>
      <c r="C36" s="3">
        <v>3.338473</v>
      </c>
      <c r="D36" s="8">
        <v>3.0234770000000002</v>
      </c>
      <c r="E36" s="8">
        <v>3.65347</v>
      </c>
      <c r="F36" s="2">
        <v>33</v>
      </c>
      <c r="G36" s="5">
        <v>21</v>
      </c>
      <c r="H36" s="5">
        <v>51</v>
      </c>
      <c r="I36" s="7">
        <f>(C36-1)*100/($C$4-1)</f>
        <v>75.084621682801142</v>
      </c>
      <c r="J36" s="6">
        <v>3.2727270000000002</v>
      </c>
      <c r="K36" s="1">
        <v>29</v>
      </c>
      <c r="L36" s="6">
        <v>3.048737</v>
      </c>
      <c r="M36" s="1">
        <v>41</v>
      </c>
      <c r="N36" s="6">
        <v>2.8707069999999999</v>
      </c>
      <c r="O36" s="1">
        <v>69</v>
      </c>
      <c r="P36" s="6">
        <v>3.7318180000000001</v>
      </c>
      <c r="Q36" s="1">
        <v>19</v>
      </c>
      <c r="R36" s="6">
        <v>3.1636359999999999</v>
      </c>
      <c r="S36" s="1">
        <v>49</v>
      </c>
      <c r="T36" s="6">
        <v>3.970332</v>
      </c>
      <c r="U36" s="1">
        <v>29</v>
      </c>
    </row>
    <row r="37" spans="1:21" x14ac:dyDescent="0.2">
      <c r="A37" s="5" t="s">
        <v>243</v>
      </c>
      <c r="B37" s="5" t="s">
        <v>242</v>
      </c>
      <c r="C37" s="3">
        <v>3.3350399999999998</v>
      </c>
      <c r="D37" s="8">
        <v>3.1561910000000002</v>
      </c>
      <c r="E37" s="8">
        <v>3.5138880000000001</v>
      </c>
      <c r="F37" s="2">
        <v>34</v>
      </c>
      <c r="G37" s="5">
        <v>26</v>
      </c>
      <c r="H37" s="5">
        <v>43</v>
      </c>
      <c r="I37" s="7">
        <f>(C37-1)*100/($C$4-1)</f>
        <v>74.9743935526337</v>
      </c>
      <c r="J37" s="6">
        <v>3.3125</v>
      </c>
      <c r="K37" s="1">
        <v>28</v>
      </c>
      <c r="L37" s="6">
        <v>3.1662949999999999</v>
      </c>
      <c r="M37" s="1">
        <v>35</v>
      </c>
      <c r="N37" s="6">
        <v>3.0234380000000001</v>
      </c>
      <c r="O37" s="1">
        <v>59</v>
      </c>
      <c r="P37" s="6">
        <v>3.3091520000000001</v>
      </c>
      <c r="Q37" s="1">
        <v>33</v>
      </c>
      <c r="R37" s="6">
        <v>3.3805800000000001</v>
      </c>
      <c r="S37" s="1">
        <v>39</v>
      </c>
      <c r="T37" s="6">
        <v>3.8433639999999998</v>
      </c>
      <c r="U37" s="1">
        <v>40</v>
      </c>
    </row>
    <row r="38" spans="1:21" x14ac:dyDescent="0.2">
      <c r="A38" s="5" t="s">
        <v>241</v>
      </c>
      <c r="B38" s="5" t="s">
        <v>240</v>
      </c>
      <c r="C38" s="3">
        <v>3.2922709999999999</v>
      </c>
      <c r="D38" s="8">
        <v>3.1536309999999999</v>
      </c>
      <c r="E38" s="8">
        <v>3.4309120000000002</v>
      </c>
      <c r="F38" s="2">
        <v>35</v>
      </c>
      <c r="G38" s="5">
        <v>31</v>
      </c>
      <c r="H38" s="5">
        <v>43</v>
      </c>
      <c r="I38" s="7">
        <f>(C38-1)*100/($C$4-1)</f>
        <v>73.601149480646669</v>
      </c>
      <c r="J38" s="6">
        <v>3.0194239999999999</v>
      </c>
      <c r="K38" s="1">
        <v>39</v>
      </c>
      <c r="L38" s="6">
        <v>3.1555719999999998</v>
      </c>
      <c r="M38" s="1">
        <v>36</v>
      </c>
      <c r="N38" s="6">
        <v>3.2661690000000001</v>
      </c>
      <c r="O38" s="1">
        <v>30</v>
      </c>
      <c r="P38" s="6">
        <v>3.1642350000000001</v>
      </c>
      <c r="Q38" s="1">
        <v>39</v>
      </c>
      <c r="R38" s="6">
        <v>3.4060350000000001</v>
      </c>
      <c r="S38" s="1">
        <v>37</v>
      </c>
      <c r="T38" s="6">
        <v>3.7251650000000001</v>
      </c>
      <c r="U38" s="1">
        <v>48</v>
      </c>
    </row>
    <row r="39" spans="1:21" x14ac:dyDescent="0.2">
      <c r="A39" s="5" t="s">
        <v>239</v>
      </c>
      <c r="B39" s="5" t="s">
        <v>238</v>
      </c>
      <c r="C39" s="3">
        <v>3.281263</v>
      </c>
      <c r="D39" s="8">
        <v>3.0889000000000002</v>
      </c>
      <c r="E39" s="8">
        <v>3.4736259999999999</v>
      </c>
      <c r="F39" s="2">
        <v>36</v>
      </c>
      <c r="G39" s="5">
        <v>28</v>
      </c>
      <c r="H39" s="5">
        <v>49</v>
      </c>
      <c r="I39" s="7">
        <f>(C39-1)*100/($C$4-1)</f>
        <v>73.247700235996732</v>
      </c>
      <c r="J39" s="6">
        <v>3.0293510000000001</v>
      </c>
      <c r="K39" s="1">
        <v>38</v>
      </c>
      <c r="L39" s="6">
        <v>3.3281939999999999</v>
      </c>
      <c r="M39" s="1">
        <v>32</v>
      </c>
      <c r="N39" s="6">
        <v>3.118436</v>
      </c>
      <c r="O39" s="1">
        <v>47</v>
      </c>
      <c r="P39" s="6">
        <v>3.1067589999999998</v>
      </c>
      <c r="Q39" s="1">
        <v>43</v>
      </c>
      <c r="R39" s="6">
        <v>3.443079</v>
      </c>
      <c r="S39" s="1">
        <v>34</v>
      </c>
      <c r="T39" s="6">
        <v>3.6985679999999999</v>
      </c>
      <c r="U39" s="1">
        <v>52</v>
      </c>
    </row>
    <row r="40" spans="1:21" x14ac:dyDescent="0.2">
      <c r="A40" s="5" t="s">
        <v>237</v>
      </c>
      <c r="B40" s="5" t="s">
        <v>236</v>
      </c>
      <c r="C40" s="3">
        <v>3.2483499999999998</v>
      </c>
      <c r="D40" s="8">
        <v>3.0210089999999998</v>
      </c>
      <c r="E40" s="8">
        <v>3.4756909999999999</v>
      </c>
      <c r="F40" s="2">
        <v>37</v>
      </c>
      <c r="G40" s="5">
        <v>28</v>
      </c>
      <c r="H40" s="5">
        <v>51</v>
      </c>
      <c r="I40" s="7">
        <f>(C40-1)*100/($C$4-1)</f>
        <v>72.190916534219525</v>
      </c>
      <c r="J40" s="6">
        <v>2.9351440000000002</v>
      </c>
      <c r="K40" s="1">
        <v>40</v>
      </c>
      <c r="L40" s="6">
        <v>2.875</v>
      </c>
      <c r="M40" s="1">
        <v>49</v>
      </c>
      <c r="N40" s="6">
        <v>3.375</v>
      </c>
      <c r="O40" s="1">
        <v>21</v>
      </c>
      <c r="P40" s="6">
        <v>2.958018</v>
      </c>
      <c r="Q40" s="1">
        <v>46</v>
      </c>
      <c r="R40" s="6">
        <v>3.5549689999999998</v>
      </c>
      <c r="S40" s="1">
        <v>29</v>
      </c>
      <c r="T40" s="6">
        <v>3.7207249999999998</v>
      </c>
      <c r="U40" s="1">
        <v>49</v>
      </c>
    </row>
    <row r="41" spans="1:21" x14ac:dyDescent="0.2">
      <c r="A41" s="5" t="s">
        <v>235</v>
      </c>
      <c r="B41" s="5" t="s">
        <v>234</v>
      </c>
      <c r="C41" s="3">
        <v>3.2408290000000002</v>
      </c>
      <c r="D41" s="8">
        <v>3.0173109999999999</v>
      </c>
      <c r="E41" s="8">
        <v>3.4643480000000002</v>
      </c>
      <c r="F41" s="2">
        <v>38</v>
      </c>
      <c r="G41" s="5">
        <v>28</v>
      </c>
      <c r="H41" s="5">
        <v>51</v>
      </c>
      <c r="I41" s="7">
        <f>(C41-1)*100/($C$4-1)</f>
        <v>71.949429273226428</v>
      </c>
      <c r="J41" s="6">
        <v>2.785933</v>
      </c>
      <c r="K41" s="1">
        <v>47</v>
      </c>
      <c r="L41" s="6">
        <v>3</v>
      </c>
      <c r="M41" s="1">
        <v>42</v>
      </c>
      <c r="N41" s="6">
        <v>3.047472</v>
      </c>
      <c r="O41" s="1">
        <v>57</v>
      </c>
      <c r="P41" s="6">
        <v>3.1538460000000001</v>
      </c>
      <c r="Q41" s="1">
        <v>41</v>
      </c>
      <c r="R41" s="6">
        <v>3.5384609999999999</v>
      </c>
      <c r="S41" s="1">
        <v>31</v>
      </c>
      <c r="T41" s="6">
        <v>3.9245559999999999</v>
      </c>
      <c r="U41" s="1">
        <v>34</v>
      </c>
    </row>
    <row r="42" spans="1:21" x14ac:dyDescent="0.2">
      <c r="A42" s="5" t="s">
        <v>233</v>
      </c>
      <c r="B42" s="5" t="s">
        <v>232</v>
      </c>
      <c r="C42" s="3">
        <v>3.2233890000000001</v>
      </c>
      <c r="D42" s="8">
        <v>3.076889</v>
      </c>
      <c r="E42" s="8">
        <v>3.3698899999999998</v>
      </c>
      <c r="F42" s="2">
        <v>39</v>
      </c>
      <c r="G42" s="5">
        <v>33</v>
      </c>
      <c r="H42" s="5">
        <v>49</v>
      </c>
      <c r="I42" s="7">
        <f>(C42-1)*100/($C$4-1)</f>
        <v>71.389458812952526</v>
      </c>
      <c r="J42" s="6">
        <v>2.8202699999999998</v>
      </c>
      <c r="K42" s="1">
        <v>46</v>
      </c>
      <c r="L42" s="6">
        <v>3.078811</v>
      </c>
      <c r="M42" s="1">
        <v>39</v>
      </c>
      <c r="N42" s="6">
        <v>3.1511369999999999</v>
      </c>
      <c r="O42" s="1">
        <v>44</v>
      </c>
      <c r="P42" s="6">
        <v>3.2343540000000002</v>
      </c>
      <c r="Q42" s="1">
        <v>37</v>
      </c>
      <c r="R42" s="6">
        <v>3.0908829999999998</v>
      </c>
      <c r="S42" s="1">
        <v>56</v>
      </c>
      <c r="T42" s="6">
        <v>3.9388160000000001</v>
      </c>
      <c r="U42" s="1">
        <v>31</v>
      </c>
    </row>
    <row r="43" spans="1:21" x14ac:dyDescent="0.2">
      <c r="A43" s="5" t="s">
        <v>231</v>
      </c>
      <c r="B43" s="5" t="s">
        <v>230</v>
      </c>
      <c r="C43" s="3">
        <v>3.2207699999999999</v>
      </c>
      <c r="D43" s="8">
        <v>3.0852889999999999</v>
      </c>
      <c r="E43" s="8">
        <v>3.3562500000000002</v>
      </c>
      <c r="F43" s="2">
        <v>40</v>
      </c>
      <c r="G43" s="5">
        <v>33</v>
      </c>
      <c r="H43" s="5">
        <v>49</v>
      </c>
      <c r="I43" s="7">
        <f>(C43-1)*100/($C$4-1)</f>
        <v>71.305366918717596</v>
      </c>
      <c r="J43" s="6">
        <v>2.9118710000000001</v>
      </c>
      <c r="K43" s="1">
        <v>43</v>
      </c>
      <c r="L43" s="6">
        <v>3.2663720000000001</v>
      </c>
      <c r="M43" s="1">
        <v>33</v>
      </c>
      <c r="N43" s="6">
        <v>2.7990729999999999</v>
      </c>
      <c r="O43" s="1">
        <v>82</v>
      </c>
      <c r="P43" s="6">
        <v>3.3324479999999999</v>
      </c>
      <c r="Q43" s="1">
        <v>32</v>
      </c>
      <c r="R43" s="6">
        <v>3.3158799999999999</v>
      </c>
      <c r="S43" s="1">
        <v>42</v>
      </c>
      <c r="T43" s="6">
        <v>3.7804120000000001</v>
      </c>
      <c r="U43" s="1">
        <v>45</v>
      </c>
    </row>
    <row r="44" spans="1:21" x14ac:dyDescent="0.2">
      <c r="A44" s="5" t="s">
        <v>229</v>
      </c>
      <c r="B44" s="5" t="s">
        <v>228</v>
      </c>
      <c r="C44" s="3">
        <v>3.198242</v>
      </c>
      <c r="D44" s="8">
        <v>3.102433</v>
      </c>
      <c r="E44" s="8">
        <v>3.2940520000000002</v>
      </c>
      <c r="F44" s="2">
        <v>41</v>
      </c>
      <c r="G44" s="5">
        <v>35</v>
      </c>
      <c r="H44" s="5">
        <v>47</v>
      </c>
      <c r="I44" s="7">
        <f>(C44-1)*100/($C$4-1)</f>
        <v>70.582028929666563</v>
      </c>
      <c r="J44" s="6">
        <v>2.3698429999999999</v>
      </c>
      <c r="K44" s="1">
        <v>82</v>
      </c>
      <c r="L44" s="6">
        <v>3.0977399999999999</v>
      </c>
      <c r="M44" s="1">
        <v>37</v>
      </c>
      <c r="N44" s="6">
        <v>2.9100929999999998</v>
      </c>
      <c r="O44" s="1">
        <v>65</v>
      </c>
      <c r="P44" s="6">
        <v>3.2956080000000001</v>
      </c>
      <c r="Q44" s="1">
        <v>34</v>
      </c>
      <c r="R44" s="6">
        <v>3.4174129999999998</v>
      </c>
      <c r="S44" s="1">
        <v>36</v>
      </c>
      <c r="T44" s="6">
        <v>4.1370990000000001</v>
      </c>
      <c r="U44" s="1">
        <v>20</v>
      </c>
    </row>
    <row r="45" spans="1:21" x14ac:dyDescent="0.2">
      <c r="A45" s="5" t="s">
        <v>227</v>
      </c>
      <c r="B45" s="5" t="s">
        <v>226</v>
      </c>
      <c r="C45" s="3">
        <v>3.1970689999999999</v>
      </c>
      <c r="D45" s="8">
        <v>3.0191979999999998</v>
      </c>
      <c r="E45" s="8">
        <v>3.3749400000000001</v>
      </c>
      <c r="F45" s="2">
        <v>42</v>
      </c>
      <c r="G45" s="5">
        <v>32</v>
      </c>
      <c r="H45" s="5">
        <v>51</v>
      </c>
      <c r="I45" s="7">
        <f>(C45-1)*100/($C$4-1)</f>
        <v>70.544365778869462</v>
      </c>
      <c r="J45" s="6">
        <v>3.2233329999999998</v>
      </c>
      <c r="K45" s="1">
        <v>30</v>
      </c>
      <c r="L45" s="6">
        <v>3.3344450000000001</v>
      </c>
      <c r="M45" s="1">
        <v>31</v>
      </c>
      <c r="N45" s="6">
        <v>3.1</v>
      </c>
      <c r="O45" s="1">
        <v>51</v>
      </c>
      <c r="P45" s="6">
        <v>3.1440739999999998</v>
      </c>
      <c r="Q45" s="1">
        <v>42</v>
      </c>
      <c r="R45" s="6">
        <v>3.1440739999999998</v>
      </c>
      <c r="S45" s="1">
        <v>53</v>
      </c>
      <c r="T45" s="6">
        <v>3.2690739999999998</v>
      </c>
      <c r="U45" s="1">
        <v>84</v>
      </c>
    </row>
    <row r="46" spans="1:21" x14ac:dyDescent="0.2">
      <c r="A46" s="5" t="s">
        <v>225</v>
      </c>
      <c r="B46" s="5" t="s">
        <v>224</v>
      </c>
      <c r="C46" s="3">
        <v>3.1579670000000002</v>
      </c>
      <c r="D46" s="8">
        <v>2.8469799999999998</v>
      </c>
      <c r="E46" s="8">
        <v>3.4689540000000001</v>
      </c>
      <c r="F46" s="2">
        <v>43</v>
      </c>
      <c r="G46" s="5">
        <v>28</v>
      </c>
      <c r="H46" s="5">
        <v>58</v>
      </c>
      <c r="I46" s="7">
        <f>(C46-1)*100/($C$4-1)</f>
        <v>69.288863202170532</v>
      </c>
      <c r="J46" s="6">
        <v>3.139043</v>
      </c>
      <c r="K46" s="1">
        <v>33</v>
      </c>
      <c r="L46" s="6">
        <v>2.7461859999999998</v>
      </c>
      <c r="M46" s="1">
        <v>53</v>
      </c>
      <c r="N46" s="6">
        <v>3.1722220000000001</v>
      </c>
      <c r="O46" s="1">
        <v>40</v>
      </c>
      <c r="P46" s="6">
        <v>3.1747570000000001</v>
      </c>
      <c r="Q46" s="1">
        <v>38</v>
      </c>
      <c r="R46" s="6">
        <v>2.95</v>
      </c>
      <c r="S46" s="1">
        <v>65</v>
      </c>
      <c r="T46" s="6">
        <v>3.6822490000000001</v>
      </c>
      <c r="U46" s="1">
        <v>53</v>
      </c>
    </row>
    <row r="47" spans="1:21" x14ac:dyDescent="0.2">
      <c r="A47" s="5" t="s">
        <v>223</v>
      </c>
      <c r="B47" s="5" t="s">
        <v>222</v>
      </c>
      <c r="C47" s="3">
        <v>3.1419329999999999</v>
      </c>
      <c r="D47" s="8">
        <v>2.9903569999999999</v>
      </c>
      <c r="E47" s="8">
        <v>3.2935099999999999</v>
      </c>
      <c r="F47" s="2">
        <v>44</v>
      </c>
      <c r="G47" s="5">
        <v>35</v>
      </c>
      <c r="H47" s="5">
        <v>51</v>
      </c>
      <c r="I47" s="7">
        <f>(C47-1)*100/($C$4-1)</f>
        <v>68.774037149416429</v>
      </c>
      <c r="J47" s="6">
        <v>2.6748310000000002</v>
      </c>
      <c r="K47" s="1">
        <v>54</v>
      </c>
      <c r="L47" s="6">
        <v>2.5678130000000001</v>
      </c>
      <c r="M47" s="1">
        <v>64</v>
      </c>
      <c r="N47" s="6">
        <v>3.4046989999999999</v>
      </c>
      <c r="O47" s="1">
        <v>20</v>
      </c>
      <c r="P47" s="6">
        <v>2.9499979999999999</v>
      </c>
      <c r="Q47" s="1">
        <v>47</v>
      </c>
      <c r="R47" s="6">
        <v>3.2928839999999999</v>
      </c>
      <c r="S47" s="1">
        <v>44</v>
      </c>
      <c r="T47" s="6">
        <v>3.825752</v>
      </c>
      <c r="U47" s="1">
        <v>42</v>
      </c>
    </row>
    <row r="48" spans="1:21" x14ac:dyDescent="0.2">
      <c r="A48" s="5" t="s">
        <v>221</v>
      </c>
      <c r="B48" s="5" t="s">
        <v>220</v>
      </c>
      <c r="C48" s="3">
        <v>3.1349390000000001</v>
      </c>
      <c r="D48" s="8">
        <v>2.886816</v>
      </c>
      <c r="E48" s="8">
        <v>3.3830619999999998</v>
      </c>
      <c r="F48" s="2">
        <v>45</v>
      </c>
      <c r="G48" s="5">
        <v>32</v>
      </c>
      <c r="H48" s="5">
        <v>56</v>
      </c>
      <c r="I48" s="7">
        <f>(C48-1)*100/($C$4-1)</f>
        <v>68.549471014143762</v>
      </c>
      <c r="J48" s="6">
        <v>2.785714</v>
      </c>
      <c r="K48" s="1">
        <v>48</v>
      </c>
      <c r="L48" s="6">
        <v>2.7186029999999999</v>
      </c>
      <c r="M48" s="1">
        <v>54</v>
      </c>
      <c r="N48" s="6">
        <v>3.189505</v>
      </c>
      <c r="O48" s="1">
        <v>38</v>
      </c>
      <c r="P48" s="6">
        <v>2.8494679999999999</v>
      </c>
      <c r="Q48" s="1">
        <v>56</v>
      </c>
      <c r="R48" s="6">
        <v>3.2661349999999998</v>
      </c>
      <c r="S48" s="1">
        <v>46</v>
      </c>
      <c r="T48" s="6">
        <v>3.920636</v>
      </c>
      <c r="U48" s="1">
        <v>35</v>
      </c>
    </row>
    <row r="49" spans="1:21" x14ac:dyDescent="0.2">
      <c r="A49" s="5" t="s">
        <v>219</v>
      </c>
      <c r="B49" s="5" t="s">
        <v>218</v>
      </c>
      <c r="C49" s="3">
        <v>3.129378</v>
      </c>
      <c r="D49" s="8">
        <v>2.9712230000000002</v>
      </c>
      <c r="E49" s="8">
        <v>3.2875329999999998</v>
      </c>
      <c r="F49" s="2">
        <v>46</v>
      </c>
      <c r="G49" s="5">
        <v>36</v>
      </c>
      <c r="H49" s="5">
        <v>52</v>
      </c>
      <c r="I49" s="7">
        <f>(C49-1)*100/($C$4-1)</f>
        <v>68.370916213135558</v>
      </c>
      <c r="J49" s="6">
        <v>2.9175420000000001</v>
      </c>
      <c r="K49" s="1">
        <v>42</v>
      </c>
      <c r="L49" s="6">
        <v>2.9354149999999999</v>
      </c>
      <c r="M49" s="1">
        <v>46</v>
      </c>
      <c r="N49" s="6">
        <v>3.1323530000000002</v>
      </c>
      <c r="O49" s="1">
        <v>45</v>
      </c>
      <c r="P49" s="6">
        <v>2.8219270000000001</v>
      </c>
      <c r="Q49" s="1">
        <v>58</v>
      </c>
      <c r="R49" s="6">
        <v>3.5142350000000002</v>
      </c>
      <c r="S49" s="1">
        <v>32</v>
      </c>
      <c r="T49" s="6">
        <v>3.4387249999999998</v>
      </c>
      <c r="U49" s="1">
        <v>75</v>
      </c>
    </row>
    <row r="50" spans="1:21" x14ac:dyDescent="0.2">
      <c r="A50" s="5" t="s">
        <v>217</v>
      </c>
      <c r="B50" s="5" t="s">
        <v>216</v>
      </c>
      <c r="C50" s="3">
        <v>3.115075</v>
      </c>
      <c r="D50" s="8">
        <v>3.0164740000000001</v>
      </c>
      <c r="E50" s="8">
        <v>3.2136749999999998</v>
      </c>
      <c r="F50" s="2">
        <v>47</v>
      </c>
      <c r="G50" s="5">
        <v>41</v>
      </c>
      <c r="H50" s="5">
        <v>51</v>
      </c>
      <c r="I50" s="7">
        <f>(C50-1)*100/($C$4-1)</f>
        <v>67.911669797235476</v>
      </c>
      <c r="J50" s="6">
        <v>2.7000259999999998</v>
      </c>
      <c r="K50" s="1">
        <v>52</v>
      </c>
      <c r="L50" s="6">
        <v>2.9094699999999998</v>
      </c>
      <c r="M50" s="1">
        <v>47</v>
      </c>
      <c r="N50" s="6">
        <v>3.1304720000000001</v>
      </c>
      <c r="O50" s="1">
        <v>46</v>
      </c>
      <c r="P50" s="6">
        <v>3.1589879999999999</v>
      </c>
      <c r="Q50" s="1">
        <v>40</v>
      </c>
      <c r="R50" s="6">
        <v>3.1447029999999998</v>
      </c>
      <c r="S50" s="1">
        <v>52</v>
      </c>
      <c r="T50" s="6">
        <v>3.609394</v>
      </c>
      <c r="U50" s="1">
        <v>56</v>
      </c>
    </row>
    <row r="51" spans="1:21" x14ac:dyDescent="0.2">
      <c r="A51" s="5" t="s">
        <v>215</v>
      </c>
      <c r="B51" s="5" t="s">
        <v>214</v>
      </c>
      <c r="C51" s="3">
        <v>3.0996640000000002</v>
      </c>
      <c r="D51" s="8">
        <v>3.006799</v>
      </c>
      <c r="E51" s="8">
        <v>3.192529</v>
      </c>
      <c r="F51" s="2">
        <v>48</v>
      </c>
      <c r="G51" s="5">
        <v>43</v>
      </c>
      <c r="H51" s="5">
        <v>51</v>
      </c>
      <c r="I51" s="7">
        <f>(C51-1)*100/($C$4-1)</f>
        <v>67.41684727640515</v>
      </c>
      <c r="J51" s="6">
        <v>2.6291739999999999</v>
      </c>
      <c r="K51" s="1">
        <v>56</v>
      </c>
      <c r="L51" s="6">
        <v>2.7502089999999999</v>
      </c>
      <c r="M51" s="1">
        <v>52</v>
      </c>
      <c r="N51" s="6">
        <v>3.1521189999999999</v>
      </c>
      <c r="O51" s="1">
        <v>43</v>
      </c>
      <c r="P51" s="6">
        <v>3.0306199999999999</v>
      </c>
      <c r="Q51" s="1">
        <v>45</v>
      </c>
      <c r="R51" s="6">
        <v>3.1500370000000002</v>
      </c>
      <c r="S51" s="1">
        <v>51</v>
      </c>
      <c r="T51" s="6">
        <v>3.8166319999999998</v>
      </c>
      <c r="U51" s="1">
        <v>43</v>
      </c>
    </row>
    <row r="52" spans="1:21" x14ac:dyDescent="0.2">
      <c r="A52" s="5" t="s">
        <v>213</v>
      </c>
      <c r="B52" s="5" t="s">
        <v>212</v>
      </c>
      <c r="C52" s="3">
        <v>3.0947230000000001</v>
      </c>
      <c r="D52" s="8">
        <v>2.9485839999999999</v>
      </c>
      <c r="E52" s="8">
        <v>3.2408619999999999</v>
      </c>
      <c r="F52" s="2">
        <v>49</v>
      </c>
      <c r="G52" s="5">
        <v>38</v>
      </c>
      <c r="H52" s="5">
        <v>55</v>
      </c>
      <c r="I52" s="7">
        <f>(C52-1)*100/($C$4-1)</f>
        <v>67.258199682126872</v>
      </c>
      <c r="J52" s="6">
        <v>2.9326789999999998</v>
      </c>
      <c r="K52" s="1">
        <v>41</v>
      </c>
      <c r="L52" s="6">
        <v>2.855756</v>
      </c>
      <c r="M52" s="1">
        <v>50</v>
      </c>
      <c r="N52" s="6">
        <v>2.7407409999999999</v>
      </c>
      <c r="O52" s="1">
        <v>94</v>
      </c>
      <c r="P52" s="6">
        <v>2.9429979999999998</v>
      </c>
      <c r="Q52" s="1">
        <v>48</v>
      </c>
      <c r="R52" s="6">
        <v>3.328481</v>
      </c>
      <c r="S52" s="1">
        <v>40</v>
      </c>
      <c r="T52" s="6">
        <v>3.7962159999999998</v>
      </c>
      <c r="U52" s="1">
        <v>44</v>
      </c>
    </row>
    <row r="53" spans="1:21" x14ac:dyDescent="0.2">
      <c r="A53" s="5" t="s">
        <v>211</v>
      </c>
      <c r="B53" s="5" t="s">
        <v>210</v>
      </c>
      <c r="C53" s="3">
        <v>3.0473490000000001</v>
      </c>
      <c r="D53" s="8">
        <v>2.9458099999999998</v>
      </c>
      <c r="E53" s="8">
        <v>3.1488879999999999</v>
      </c>
      <c r="F53" s="2">
        <v>50</v>
      </c>
      <c r="G53" s="5">
        <v>44</v>
      </c>
      <c r="H53" s="5">
        <v>55</v>
      </c>
      <c r="I53" s="7">
        <f>(C53-1)*100/($C$4-1)</f>
        <v>65.737096437573257</v>
      </c>
      <c r="J53" s="6">
        <v>2.5477340000000002</v>
      </c>
      <c r="K53" s="1">
        <v>62</v>
      </c>
      <c r="L53" s="6">
        <v>2.9547330000000001</v>
      </c>
      <c r="M53" s="1">
        <v>44</v>
      </c>
      <c r="N53" s="6">
        <v>2.8327870000000002</v>
      </c>
      <c r="O53" s="1">
        <v>77</v>
      </c>
      <c r="P53" s="6">
        <v>3.0358139999999998</v>
      </c>
      <c r="Q53" s="1">
        <v>44</v>
      </c>
      <c r="R53" s="6">
        <v>3.2779989999999999</v>
      </c>
      <c r="S53" s="1">
        <v>45</v>
      </c>
      <c r="T53" s="6">
        <v>3.6644999999999999</v>
      </c>
      <c r="U53" s="1">
        <v>54</v>
      </c>
    </row>
    <row r="54" spans="1:21" x14ac:dyDescent="0.2">
      <c r="A54" s="5" t="s">
        <v>209</v>
      </c>
      <c r="B54" s="5" t="s">
        <v>208</v>
      </c>
      <c r="C54" s="3">
        <v>3.0240520000000002</v>
      </c>
      <c r="D54" s="8">
        <v>2.820843</v>
      </c>
      <c r="E54" s="8">
        <v>3.2272620000000001</v>
      </c>
      <c r="F54" s="2">
        <v>51</v>
      </c>
      <c r="G54" s="5">
        <v>39</v>
      </c>
      <c r="H54" s="5">
        <v>64</v>
      </c>
      <c r="I54" s="7">
        <f>(C54-1)*100/($C$4-1)</f>
        <v>64.989067090497528</v>
      </c>
      <c r="J54" s="6">
        <v>2.7627000000000002</v>
      </c>
      <c r="K54" s="1">
        <v>49</v>
      </c>
      <c r="L54" s="6">
        <v>2.6311979999999999</v>
      </c>
      <c r="M54" s="1">
        <v>61</v>
      </c>
      <c r="N54" s="6">
        <v>2.8664930000000002</v>
      </c>
      <c r="O54" s="1">
        <v>71</v>
      </c>
      <c r="P54" s="6">
        <v>2.834527</v>
      </c>
      <c r="Q54" s="1">
        <v>57</v>
      </c>
      <c r="R54" s="6">
        <v>3.259649</v>
      </c>
      <c r="S54" s="1">
        <v>47</v>
      </c>
      <c r="T54" s="6">
        <v>3.759649</v>
      </c>
      <c r="U54" s="1">
        <v>47</v>
      </c>
    </row>
    <row r="55" spans="1:21" x14ac:dyDescent="0.2">
      <c r="A55" s="5" t="s">
        <v>207</v>
      </c>
      <c r="B55" s="5" t="s">
        <v>206</v>
      </c>
      <c r="C55" s="3">
        <v>2.9871470000000002</v>
      </c>
      <c r="D55" s="8">
        <v>2.663862</v>
      </c>
      <c r="E55" s="8">
        <v>3.3104330000000002</v>
      </c>
      <c r="F55" s="2">
        <v>52</v>
      </c>
      <c r="G55" s="5">
        <v>35</v>
      </c>
      <c r="H55" s="5">
        <v>86</v>
      </c>
      <c r="I55" s="7">
        <f>(C55-1)*100/($C$4-1)</f>
        <v>63.804106664098008</v>
      </c>
      <c r="J55" s="6">
        <v>2.8333330000000001</v>
      </c>
      <c r="K55" s="1">
        <v>45</v>
      </c>
      <c r="L55" s="6">
        <v>3.0833330000000001</v>
      </c>
      <c r="M55" s="1">
        <v>38</v>
      </c>
      <c r="N55" s="6">
        <v>2.7799870000000002</v>
      </c>
      <c r="O55" s="1">
        <v>86</v>
      </c>
      <c r="P55" s="6">
        <v>2.8708969999999998</v>
      </c>
      <c r="Q55" s="1">
        <v>53</v>
      </c>
      <c r="R55" s="6">
        <v>2.8708969999999998</v>
      </c>
      <c r="S55" s="1">
        <v>71</v>
      </c>
      <c r="T55" s="6">
        <v>3.5192549999999998</v>
      </c>
      <c r="U55" s="1">
        <v>62</v>
      </c>
    </row>
    <row r="56" spans="1:21" x14ac:dyDescent="0.2">
      <c r="A56" s="5" t="s">
        <v>205</v>
      </c>
      <c r="B56" s="5" t="s">
        <v>204</v>
      </c>
      <c r="C56" s="3">
        <v>2.964607</v>
      </c>
      <c r="D56" s="8">
        <v>2.7846510000000002</v>
      </c>
      <c r="E56" s="8">
        <v>3.1445630000000002</v>
      </c>
      <c r="F56" s="2">
        <v>53</v>
      </c>
      <c r="G56" s="5">
        <v>44</v>
      </c>
      <c r="H56" s="5">
        <v>69</v>
      </c>
      <c r="I56" s="7">
        <f>(C56-1)*100/($C$4-1)</f>
        <v>63.080383374271548</v>
      </c>
      <c r="J56" s="6">
        <v>2.68133</v>
      </c>
      <c r="K56" s="1">
        <v>53</v>
      </c>
      <c r="L56" s="6">
        <v>2.5615269999999999</v>
      </c>
      <c r="M56" s="1">
        <v>66</v>
      </c>
      <c r="N56" s="6">
        <v>3.0415269999999999</v>
      </c>
      <c r="O56" s="1">
        <v>58</v>
      </c>
      <c r="P56" s="6">
        <v>2.8925779999999999</v>
      </c>
      <c r="Q56" s="1">
        <v>51</v>
      </c>
      <c r="R56" s="6">
        <v>3.1003370000000001</v>
      </c>
      <c r="S56" s="1">
        <v>55</v>
      </c>
      <c r="T56" s="6">
        <v>3.437055</v>
      </c>
      <c r="U56" s="1">
        <v>76</v>
      </c>
    </row>
    <row r="57" spans="1:21" x14ac:dyDescent="0.2">
      <c r="A57" s="5" t="s">
        <v>203</v>
      </c>
      <c r="B57" s="5" t="s">
        <v>202</v>
      </c>
      <c r="C57" s="3">
        <v>2.9559190000000002</v>
      </c>
      <c r="D57" s="8">
        <v>2.6671209999999999</v>
      </c>
      <c r="E57" s="8">
        <v>3.2447170000000001</v>
      </c>
      <c r="F57" s="2">
        <v>54</v>
      </c>
      <c r="G57" s="5">
        <v>38</v>
      </c>
      <c r="H57" s="5">
        <v>86</v>
      </c>
      <c r="I57" s="7">
        <f>(C57-1)*100/($C$4-1)</f>
        <v>62.801425612869053</v>
      </c>
      <c r="J57" s="6">
        <v>2.4769139999999998</v>
      </c>
      <c r="K57" s="1">
        <v>68</v>
      </c>
      <c r="L57" s="6">
        <v>2.9380130000000002</v>
      </c>
      <c r="M57" s="1">
        <v>45</v>
      </c>
      <c r="N57" s="6">
        <v>2.8487870000000002</v>
      </c>
      <c r="O57" s="1">
        <v>73</v>
      </c>
      <c r="P57" s="6">
        <v>2.6894499999999999</v>
      </c>
      <c r="Q57" s="1">
        <v>65</v>
      </c>
      <c r="R57" s="6">
        <v>3.3147030000000002</v>
      </c>
      <c r="S57" s="1">
        <v>43</v>
      </c>
      <c r="T57" s="6">
        <v>3.4935679999999998</v>
      </c>
      <c r="U57" s="1">
        <v>67</v>
      </c>
    </row>
    <row r="58" spans="1:21" x14ac:dyDescent="0.2">
      <c r="A58" s="5" t="s">
        <v>201</v>
      </c>
      <c r="B58" s="5" t="s">
        <v>200</v>
      </c>
      <c r="C58" s="3">
        <v>2.9501599999999999</v>
      </c>
      <c r="D58" s="8">
        <v>2.64845</v>
      </c>
      <c r="E58" s="8">
        <v>3.2518690000000001</v>
      </c>
      <c r="F58" s="2">
        <v>55</v>
      </c>
      <c r="G58" s="5">
        <v>37</v>
      </c>
      <c r="H58" s="5">
        <v>88</v>
      </c>
      <c r="I58" s="7">
        <f>(C58-1)*100/($C$4-1)</f>
        <v>62.616513349066452</v>
      </c>
      <c r="J58" s="6">
        <v>2.2517010000000002</v>
      </c>
      <c r="K58" s="1">
        <v>99</v>
      </c>
      <c r="L58" s="6">
        <v>2.7517010000000002</v>
      </c>
      <c r="M58" s="1">
        <v>51</v>
      </c>
      <c r="N58" s="6">
        <v>2.9183669999999999</v>
      </c>
      <c r="O58" s="1">
        <v>63</v>
      </c>
      <c r="P58" s="6">
        <v>2.5714290000000002</v>
      </c>
      <c r="Q58" s="1">
        <v>81</v>
      </c>
      <c r="R58" s="6">
        <v>3.0850339999999998</v>
      </c>
      <c r="S58" s="1">
        <v>57</v>
      </c>
      <c r="T58" s="6">
        <v>4.0850340000000003</v>
      </c>
      <c r="U58" s="1">
        <v>22</v>
      </c>
    </row>
    <row r="59" spans="1:21" x14ac:dyDescent="0.2">
      <c r="A59" s="5" t="s">
        <v>199</v>
      </c>
      <c r="B59" s="5" t="s">
        <v>198</v>
      </c>
      <c r="C59" s="3">
        <v>2.9084590000000001</v>
      </c>
      <c r="D59" s="8">
        <v>2.7229040000000002</v>
      </c>
      <c r="E59" s="8">
        <v>3.094014</v>
      </c>
      <c r="F59" s="2">
        <v>56</v>
      </c>
      <c r="G59" s="5">
        <v>50</v>
      </c>
      <c r="H59" s="5">
        <v>81</v>
      </c>
      <c r="I59" s="7">
        <f>(C59-1)*100/($C$4-1)</f>
        <v>61.277561046091613</v>
      </c>
      <c r="J59" s="6">
        <v>2.6059350000000001</v>
      </c>
      <c r="K59" s="1">
        <v>58</v>
      </c>
      <c r="L59" s="6">
        <v>2.5597910000000001</v>
      </c>
      <c r="M59" s="1">
        <v>67</v>
      </c>
      <c r="N59" s="6">
        <v>2.6438920000000001</v>
      </c>
      <c r="O59" s="1">
        <v>105</v>
      </c>
      <c r="P59" s="6">
        <v>2.7956349999999999</v>
      </c>
      <c r="Q59" s="1">
        <v>59</v>
      </c>
      <c r="R59" s="6">
        <v>3.128968</v>
      </c>
      <c r="S59" s="1">
        <v>54</v>
      </c>
      <c r="T59" s="6">
        <v>3.7114820000000002</v>
      </c>
      <c r="U59" s="1">
        <v>51</v>
      </c>
    </row>
    <row r="60" spans="1:21" x14ac:dyDescent="0.2">
      <c r="A60" s="5" t="s">
        <v>197</v>
      </c>
      <c r="B60" s="5" t="s">
        <v>196</v>
      </c>
      <c r="C60" s="3">
        <v>2.8740549999999998</v>
      </c>
      <c r="D60" s="8">
        <v>2.7066530000000002</v>
      </c>
      <c r="E60" s="8">
        <v>3.0414560000000002</v>
      </c>
      <c r="F60" s="2">
        <v>57</v>
      </c>
      <c r="G60" s="5">
        <v>51</v>
      </c>
      <c r="H60" s="5">
        <v>82</v>
      </c>
      <c r="I60" s="7">
        <f>(C60-1)*100/($C$4-1)</f>
        <v>60.172903722968748</v>
      </c>
      <c r="J60" s="6">
        <v>2.5882350000000001</v>
      </c>
      <c r="K60" s="1">
        <v>60</v>
      </c>
      <c r="L60" s="6">
        <v>2.6492209999999998</v>
      </c>
      <c r="M60" s="1">
        <v>58</v>
      </c>
      <c r="N60" s="6">
        <v>2.8367209999999998</v>
      </c>
      <c r="O60" s="1">
        <v>76</v>
      </c>
      <c r="P60" s="6">
        <v>2.8992209999999998</v>
      </c>
      <c r="Q60" s="1">
        <v>50</v>
      </c>
      <c r="R60" s="6">
        <v>3.1560809999999999</v>
      </c>
      <c r="S60" s="1">
        <v>50</v>
      </c>
      <c r="T60" s="6">
        <v>3.1021399999999999</v>
      </c>
      <c r="U60" s="1">
        <v>103</v>
      </c>
    </row>
    <row r="61" spans="1:21" x14ac:dyDescent="0.2">
      <c r="A61" s="5" t="s">
        <v>195</v>
      </c>
      <c r="B61" s="5" t="s">
        <v>194</v>
      </c>
      <c r="C61" s="3">
        <v>2.8631479999999998</v>
      </c>
      <c r="D61" s="8">
        <v>2.4972249999999998</v>
      </c>
      <c r="E61" s="8">
        <v>3.2290709999999998</v>
      </c>
      <c r="F61" s="2">
        <v>58</v>
      </c>
      <c r="G61" s="5">
        <v>39</v>
      </c>
      <c r="H61" s="5">
        <v>112</v>
      </c>
      <c r="I61" s="7">
        <f>(C61-1)*100/($C$4-1)</f>
        <v>59.822697426511908</v>
      </c>
      <c r="J61" s="6">
        <v>2.4539140000000002</v>
      </c>
      <c r="K61" s="1">
        <v>70</v>
      </c>
      <c r="L61" s="6">
        <v>2.635732</v>
      </c>
      <c r="M61" s="1">
        <v>59</v>
      </c>
      <c r="N61" s="6">
        <v>2.75</v>
      </c>
      <c r="O61" s="1">
        <v>90</v>
      </c>
      <c r="P61" s="6">
        <v>2.7266409999999999</v>
      </c>
      <c r="Q61" s="1">
        <v>63</v>
      </c>
      <c r="R61" s="6">
        <v>3.0833330000000001</v>
      </c>
      <c r="S61" s="1">
        <v>58</v>
      </c>
      <c r="T61" s="6">
        <v>3.5172979999999998</v>
      </c>
      <c r="U61" s="1">
        <v>63</v>
      </c>
    </row>
    <row r="62" spans="1:21" x14ac:dyDescent="0.2">
      <c r="A62" s="5" t="s">
        <v>193</v>
      </c>
      <c r="B62" s="5" t="s">
        <v>192</v>
      </c>
      <c r="C62" s="3">
        <v>2.8412289999999998</v>
      </c>
      <c r="D62" s="8">
        <v>2.5769169999999999</v>
      </c>
      <c r="E62" s="8">
        <v>3.10554</v>
      </c>
      <c r="F62" s="2">
        <v>59</v>
      </c>
      <c r="G62" s="5">
        <v>48</v>
      </c>
      <c r="H62" s="5">
        <v>101</v>
      </c>
      <c r="I62" s="7">
        <f>(C62-1)*100/($C$4-1)</f>
        <v>59.11891345181332</v>
      </c>
      <c r="J62" s="6">
        <v>2.3571430000000002</v>
      </c>
      <c r="K62" s="1">
        <v>85</v>
      </c>
      <c r="L62" s="6">
        <v>2.2471649999999999</v>
      </c>
      <c r="M62" s="1">
        <v>99</v>
      </c>
      <c r="N62" s="6">
        <v>3.2375280000000002</v>
      </c>
      <c r="O62" s="1">
        <v>34</v>
      </c>
      <c r="P62" s="6">
        <v>2.6819730000000002</v>
      </c>
      <c r="Q62" s="1">
        <v>66</v>
      </c>
      <c r="R62" s="6">
        <v>2.9041950000000001</v>
      </c>
      <c r="S62" s="1">
        <v>66</v>
      </c>
      <c r="T62" s="6">
        <v>3.4535149999999999</v>
      </c>
      <c r="U62" s="1">
        <v>73</v>
      </c>
    </row>
    <row r="63" spans="1:21" x14ac:dyDescent="0.2">
      <c r="A63" s="5" t="s">
        <v>191</v>
      </c>
      <c r="B63" s="5" t="s">
        <v>190</v>
      </c>
      <c r="C63" s="3">
        <v>2.8394550000000001</v>
      </c>
      <c r="D63" s="8">
        <v>2.521566</v>
      </c>
      <c r="E63" s="8">
        <v>3.1573449999999998</v>
      </c>
      <c r="F63" s="2">
        <v>60</v>
      </c>
      <c r="G63" s="5">
        <v>44</v>
      </c>
      <c r="H63" s="5">
        <v>111</v>
      </c>
      <c r="I63" s="7">
        <f>(C63-1)*100/($C$4-1)</f>
        <v>59.061953153847398</v>
      </c>
      <c r="J63" s="6">
        <v>3.375</v>
      </c>
      <c r="K63" s="1">
        <v>24</v>
      </c>
      <c r="L63" s="6">
        <v>3.0625</v>
      </c>
      <c r="M63" s="1">
        <v>40</v>
      </c>
      <c r="N63" s="6">
        <v>2.3125</v>
      </c>
      <c r="O63" s="1">
        <v>137</v>
      </c>
      <c r="P63" s="6">
        <v>2.3697919999999999</v>
      </c>
      <c r="Q63" s="1">
        <v>108</v>
      </c>
      <c r="R63" s="6">
        <v>2.0364580000000001</v>
      </c>
      <c r="S63" s="1">
        <v>145</v>
      </c>
      <c r="T63" s="6">
        <v>3.9354170000000002</v>
      </c>
      <c r="U63" s="1">
        <v>32</v>
      </c>
    </row>
    <row r="64" spans="1:21" x14ac:dyDescent="0.2">
      <c r="A64" s="5" t="s">
        <v>189</v>
      </c>
      <c r="B64" s="5" t="s">
        <v>188</v>
      </c>
      <c r="C64" s="3">
        <v>2.8354789999999999</v>
      </c>
      <c r="D64" s="8">
        <v>2.460213</v>
      </c>
      <c r="E64" s="8">
        <v>3.2107450000000002</v>
      </c>
      <c r="F64" s="2">
        <v>61</v>
      </c>
      <c r="G64" s="5">
        <v>41</v>
      </c>
      <c r="H64" s="5">
        <v>118</v>
      </c>
      <c r="I64" s="7">
        <f>(C64-1)*100/($C$4-1)</f>
        <v>58.934290163592294</v>
      </c>
      <c r="J64" s="6">
        <v>2.431905</v>
      </c>
      <c r="K64" s="1">
        <v>73</v>
      </c>
      <c r="L64" s="6">
        <v>2.5619049999999999</v>
      </c>
      <c r="M64" s="1">
        <v>65</v>
      </c>
      <c r="N64" s="6">
        <v>3.3619050000000001</v>
      </c>
      <c r="O64" s="1">
        <v>22</v>
      </c>
      <c r="P64" s="6">
        <v>2.3619050000000001</v>
      </c>
      <c r="Q64" s="1">
        <v>109</v>
      </c>
      <c r="R64" s="6">
        <v>2.5619049999999999</v>
      </c>
      <c r="S64" s="1">
        <v>102</v>
      </c>
      <c r="T64" s="6">
        <v>3.5652379999999999</v>
      </c>
      <c r="U64" s="1">
        <v>58</v>
      </c>
    </row>
    <row r="65" spans="1:21" x14ac:dyDescent="0.2">
      <c r="A65" s="5" t="s">
        <v>187</v>
      </c>
      <c r="B65" s="5" t="s">
        <v>186</v>
      </c>
      <c r="C65" s="3">
        <v>2.8331900000000001</v>
      </c>
      <c r="D65" s="8">
        <v>2.5880830000000001</v>
      </c>
      <c r="E65" s="8">
        <v>3.0782980000000002</v>
      </c>
      <c r="F65" s="2">
        <v>62</v>
      </c>
      <c r="G65" s="5">
        <v>50</v>
      </c>
      <c r="H65" s="5">
        <v>99</v>
      </c>
      <c r="I65" s="7">
        <f>(C65-1)*100/($C$4-1)</f>
        <v>58.860794040681348</v>
      </c>
      <c r="J65" s="6">
        <v>2.3763179999999999</v>
      </c>
      <c r="K65" s="1">
        <v>79</v>
      </c>
      <c r="L65" s="6">
        <v>2.6597029999999999</v>
      </c>
      <c r="M65" s="1">
        <v>57</v>
      </c>
      <c r="N65" s="6">
        <v>3.2890320000000002</v>
      </c>
      <c r="O65" s="1">
        <v>29</v>
      </c>
      <c r="P65" s="6">
        <v>2.600101</v>
      </c>
      <c r="Q65" s="1">
        <v>73</v>
      </c>
      <c r="R65" s="6">
        <v>2.7000999999999999</v>
      </c>
      <c r="S65" s="1">
        <v>85</v>
      </c>
      <c r="T65" s="6">
        <v>3.2501000000000002</v>
      </c>
      <c r="U65" s="1">
        <v>86</v>
      </c>
    </row>
    <row r="66" spans="1:21" x14ac:dyDescent="0.2">
      <c r="A66" s="5" t="s">
        <v>185</v>
      </c>
      <c r="B66" s="5" t="s">
        <v>184</v>
      </c>
      <c r="C66" s="3">
        <v>2.830857</v>
      </c>
      <c r="D66" s="8">
        <v>2.5451160000000002</v>
      </c>
      <c r="E66" s="8">
        <v>3.1165989999999999</v>
      </c>
      <c r="F66" s="2">
        <v>63</v>
      </c>
      <c r="G66" s="5">
        <v>47</v>
      </c>
      <c r="H66" s="5">
        <v>105</v>
      </c>
      <c r="I66" s="7">
        <f>(C66-1)*100/($C$4-1)</f>
        <v>58.785885148260533</v>
      </c>
      <c r="J66" s="6">
        <v>2.5</v>
      </c>
      <c r="K66" s="1">
        <v>65</v>
      </c>
      <c r="L66" s="6">
        <v>2.2999999999999998</v>
      </c>
      <c r="M66" s="1">
        <v>94</v>
      </c>
      <c r="N66" s="6">
        <v>3.072222</v>
      </c>
      <c r="O66" s="1">
        <v>52</v>
      </c>
      <c r="P66" s="6">
        <v>2.85</v>
      </c>
      <c r="Q66" s="1">
        <v>55</v>
      </c>
      <c r="R66" s="6">
        <v>2.9611109999999998</v>
      </c>
      <c r="S66" s="1">
        <v>62</v>
      </c>
      <c r="T66" s="6">
        <v>3.1833330000000002</v>
      </c>
      <c r="U66" s="1">
        <v>95</v>
      </c>
    </row>
    <row r="67" spans="1:21" x14ac:dyDescent="0.2">
      <c r="A67" s="5" t="s">
        <v>183</v>
      </c>
      <c r="B67" s="5" t="s">
        <v>182</v>
      </c>
      <c r="C67" s="3">
        <v>2.8243299999999998</v>
      </c>
      <c r="D67" s="8">
        <v>2.4911219999999998</v>
      </c>
      <c r="E67" s="8">
        <v>3.157537</v>
      </c>
      <c r="F67" s="2">
        <v>64</v>
      </c>
      <c r="G67" s="5">
        <v>44</v>
      </c>
      <c r="H67" s="5">
        <v>114</v>
      </c>
      <c r="I67" s="7">
        <f>(C67-1)*100/($C$4-1)</f>
        <v>58.576313634831195</v>
      </c>
      <c r="J67" s="6">
        <v>2.6496909999999998</v>
      </c>
      <c r="K67" s="1">
        <v>55</v>
      </c>
      <c r="L67" s="6">
        <v>2.8888889999999998</v>
      </c>
      <c r="M67" s="1">
        <v>48</v>
      </c>
      <c r="N67" s="6">
        <v>2.9145059999999998</v>
      </c>
      <c r="O67" s="1">
        <v>64</v>
      </c>
      <c r="P67" s="6">
        <v>2.8888889999999998</v>
      </c>
      <c r="Q67" s="1">
        <v>52</v>
      </c>
      <c r="R67" s="6">
        <v>2.5555560000000002</v>
      </c>
      <c r="S67" s="1">
        <v>104</v>
      </c>
      <c r="T67" s="6">
        <v>3.0246909999999998</v>
      </c>
      <c r="U67" s="1">
        <v>117</v>
      </c>
    </row>
    <row r="68" spans="1:21" x14ac:dyDescent="0.2">
      <c r="A68" s="5" t="s">
        <v>181</v>
      </c>
      <c r="B68" s="5" t="s">
        <v>180</v>
      </c>
      <c r="C68" s="3">
        <v>2.8207499999999999</v>
      </c>
      <c r="D68" s="8">
        <v>2.6092780000000002</v>
      </c>
      <c r="E68" s="8">
        <v>3.0322209999999998</v>
      </c>
      <c r="F68" s="2">
        <v>65</v>
      </c>
      <c r="G68" s="5">
        <v>51</v>
      </c>
      <c r="H68" s="5">
        <v>93</v>
      </c>
      <c r="I68" s="7">
        <f>(C68-1)*100/($C$4-1)</f>
        <v>58.46136557016488</v>
      </c>
      <c r="J68" s="6">
        <v>2.5130919999999999</v>
      </c>
      <c r="K68" s="1">
        <v>63</v>
      </c>
      <c r="L68" s="6">
        <v>2.3425630000000002</v>
      </c>
      <c r="M68" s="1">
        <v>90</v>
      </c>
      <c r="N68" s="6">
        <v>2.5949140000000002</v>
      </c>
      <c r="O68" s="1">
        <v>107</v>
      </c>
      <c r="P68" s="6">
        <v>2.4216609999999998</v>
      </c>
      <c r="Q68" s="1">
        <v>100</v>
      </c>
      <c r="R68" s="6">
        <v>3.1678459999999999</v>
      </c>
      <c r="S68" s="1">
        <v>48</v>
      </c>
      <c r="T68" s="6">
        <v>3.8525649999999998</v>
      </c>
      <c r="U68" s="1">
        <v>38</v>
      </c>
    </row>
    <row r="69" spans="1:21" x14ac:dyDescent="0.2">
      <c r="A69" s="5" t="s">
        <v>179</v>
      </c>
      <c r="B69" s="5" t="s">
        <v>178</v>
      </c>
      <c r="C69" s="3">
        <v>2.8175050000000001</v>
      </c>
      <c r="D69" s="8">
        <v>2.6398229999999998</v>
      </c>
      <c r="E69" s="8">
        <v>2.9951859999999999</v>
      </c>
      <c r="F69" s="2">
        <v>66</v>
      </c>
      <c r="G69" s="5">
        <v>52</v>
      </c>
      <c r="H69" s="5">
        <v>88</v>
      </c>
      <c r="I69" s="7">
        <f>(C69-1)*100/($C$4-1)</f>
        <v>58.357173818812321</v>
      </c>
      <c r="J69" s="6">
        <v>2.8354509999999999</v>
      </c>
      <c r="K69" s="1">
        <v>44</v>
      </c>
      <c r="L69" s="6">
        <v>2.3459970000000001</v>
      </c>
      <c r="M69" s="1">
        <v>89</v>
      </c>
      <c r="N69" s="6">
        <v>3.0187590000000002</v>
      </c>
      <c r="O69" s="1">
        <v>60</v>
      </c>
      <c r="P69" s="6">
        <v>2.5870850000000001</v>
      </c>
      <c r="Q69" s="1">
        <v>76</v>
      </c>
      <c r="R69" s="6">
        <v>2.453751</v>
      </c>
      <c r="S69" s="1">
        <v>114</v>
      </c>
      <c r="T69" s="6">
        <v>3.5225939999999998</v>
      </c>
      <c r="U69" s="1">
        <v>60</v>
      </c>
    </row>
    <row r="70" spans="1:21" x14ac:dyDescent="0.2">
      <c r="A70" s="5" t="s">
        <v>177</v>
      </c>
      <c r="B70" s="5" t="s">
        <v>176</v>
      </c>
      <c r="C70" s="3">
        <v>2.8019970000000001</v>
      </c>
      <c r="D70" s="8">
        <v>2.6615220000000002</v>
      </c>
      <c r="E70" s="8">
        <v>2.942472</v>
      </c>
      <c r="F70" s="2">
        <v>67</v>
      </c>
      <c r="G70" s="5">
        <v>56</v>
      </c>
      <c r="H70" s="5">
        <v>87</v>
      </c>
      <c r="I70" s="7">
        <f>(C70-1)*100/($C$4-1)</f>
        <v>57.859236783380702</v>
      </c>
      <c r="J70" s="6">
        <v>2.504311</v>
      </c>
      <c r="K70" s="1">
        <v>64</v>
      </c>
      <c r="L70" s="6">
        <v>2.6598670000000002</v>
      </c>
      <c r="M70" s="1">
        <v>56</v>
      </c>
      <c r="N70" s="6">
        <v>2.7467190000000001</v>
      </c>
      <c r="O70" s="1">
        <v>93</v>
      </c>
      <c r="P70" s="6">
        <v>2.6139600000000001</v>
      </c>
      <c r="Q70" s="1">
        <v>71</v>
      </c>
      <c r="R70" s="6">
        <v>2.8864329999999998</v>
      </c>
      <c r="S70" s="1">
        <v>70</v>
      </c>
      <c r="T70" s="6">
        <v>3.3831910000000001</v>
      </c>
      <c r="U70" s="1">
        <v>79</v>
      </c>
    </row>
    <row r="71" spans="1:21" x14ac:dyDescent="0.2">
      <c r="A71" s="5" t="s">
        <v>175</v>
      </c>
      <c r="B71" s="5" t="s">
        <v>174</v>
      </c>
      <c r="C71" s="3">
        <v>2.791121</v>
      </c>
      <c r="D71" s="8">
        <v>2.59971</v>
      </c>
      <c r="E71" s="8">
        <v>2.9825309999999998</v>
      </c>
      <c r="F71" s="2">
        <v>68</v>
      </c>
      <c r="G71" s="5">
        <v>53</v>
      </c>
      <c r="H71" s="5">
        <v>94</v>
      </c>
      <c r="I71" s="7">
        <f>(C71-1)*100/($C$4-1)</f>
        <v>57.510025847260358</v>
      </c>
      <c r="J71" s="6">
        <v>2.202474</v>
      </c>
      <c r="K71" s="1">
        <v>107</v>
      </c>
      <c r="L71" s="6">
        <v>2.535066</v>
      </c>
      <c r="M71" s="1">
        <v>70</v>
      </c>
      <c r="N71" s="6">
        <v>2.7916620000000001</v>
      </c>
      <c r="O71" s="1">
        <v>83</v>
      </c>
      <c r="P71" s="6">
        <v>2.495679</v>
      </c>
      <c r="Q71" s="1">
        <v>89</v>
      </c>
      <c r="R71" s="6">
        <v>2.9555549999999999</v>
      </c>
      <c r="S71" s="1">
        <v>63</v>
      </c>
      <c r="T71" s="6">
        <v>3.7202329999999999</v>
      </c>
      <c r="U71" s="1">
        <v>50</v>
      </c>
    </row>
    <row r="72" spans="1:21" x14ac:dyDescent="0.2">
      <c r="A72" s="5" t="s">
        <v>173</v>
      </c>
      <c r="B72" s="5" t="s">
        <v>172</v>
      </c>
      <c r="C72" s="3">
        <v>2.7874639999999999</v>
      </c>
      <c r="D72" s="8">
        <v>2.5214210000000001</v>
      </c>
      <c r="E72" s="8">
        <v>3.0535079999999999</v>
      </c>
      <c r="F72" s="2">
        <v>69</v>
      </c>
      <c r="G72" s="5">
        <v>50</v>
      </c>
      <c r="H72" s="5">
        <v>111</v>
      </c>
      <c r="I72" s="7">
        <f>(C72-1)*100/($C$4-1)</f>
        <v>57.392605435951779</v>
      </c>
      <c r="J72" s="6">
        <v>2.375</v>
      </c>
      <c r="K72" s="1">
        <v>80</v>
      </c>
      <c r="L72" s="6">
        <v>2.4812129999999999</v>
      </c>
      <c r="M72" s="1">
        <v>73</v>
      </c>
      <c r="N72" s="6">
        <v>2.6534599999999999</v>
      </c>
      <c r="O72" s="1">
        <v>103</v>
      </c>
      <c r="P72" s="6">
        <v>2.6372770000000001</v>
      </c>
      <c r="Q72" s="1">
        <v>70</v>
      </c>
      <c r="R72" s="6">
        <v>3.0658479999999999</v>
      </c>
      <c r="S72" s="1">
        <v>60</v>
      </c>
      <c r="T72" s="6">
        <v>3.4944199999999999</v>
      </c>
      <c r="U72" s="1">
        <v>66</v>
      </c>
    </row>
    <row r="73" spans="1:21" x14ac:dyDescent="0.2">
      <c r="A73" s="5" t="s">
        <v>171</v>
      </c>
      <c r="B73" s="5" t="s">
        <v>170</v>
      </c>
      <c r="C73" s="3">
        <v>2.7791169999999998</v>
      </c>
      <c r="D73" s="8">
        <v>2.6870669999999999</v>
      </c>
      <c r="E73" s="8">
        <v>2.8711669999999998</v>
      </c>
      <c r="F73" s="2">
        <v>70</v>
      </c>
      <c r="G73" s="5">
        <v>58</v>
      </c>
      <c r="H73" s="5">
        <v>82</v>
      </c>
      <c r="I73" s="7">
        <f>(C73-1)*100/($C$4-1)</f>
        <v>57.124596638250736</v>
      </c>
      <c r="J73" s="6">
        <v>2.3903940000000001</v>
      </c>
      <c r="K73" s="1">
        <v>76</v>
      </c>
      <c r="L73" s="6">
        <v>2.3119689999999999</v>
      </c>
      <c r="M73" s="1">
        <v>93</v>
      </c>
      <c r="N73" s="6">
        <v>2.672663</v>
      </c>
      <c r="O73" s="1">
        <v>101</v>
      </c>
      <c r="P73" s="6">
        <v>2.570808</v>
      </c>
      <c r="Q73" s="1">
        <v>82</v>
      </c>
      <c r="R73" s="6">
        <v>2.8338920000000001</v>
      </c>
      <c r="S73" s="1">
        <v>74</v>
      </c>
      <c r="T73" s="6">
        <v>3.829434</v>
      </c>
      <c r="U73" s="1">
        <v>41</v>
      </c>
    </row>
    <row r="74" spans="1:21" x14ac:dyDescent="0.2">
      <c r="A74" s="5" t="s">
        <v>169</v>
      </c>
      <c r="B74" s="5" t="s">
        <v>168</v>
      </c>
      <c r="C74" s="3">
        <v>2.7745329999999999</v>
      </c>
      <c r="D74" s="8">
        <v>2.6454949999999999</v>
      </c>
      <c r="E74" s="8">
        <v>2.9035700000000002</v>
      </c>
      <c r="F74" s="2">
        <v>71</v>
      </c>
      <c r="G74" s="5">
        <v>57</v>
      </c>
      <c r="H74" s="5">
        <v>88</v>
      </c>
      <c r="I74" s="7">
        <f>(C74-1)*100/($C$4-1)</f>
        <v>56.977411742041134</v>
      </c>
      <c r="J74" s="6">
        <v>2.322978</v>
      </c>
      <c r="K74" s="1">
        <v>92</v>
      </c>
      <c r="L74" s="6">
        <v>2.3816250000000001</v>
      </c>
      <c r="M74" s="1">
        <v>82</v>
      </c>
      <c r="N74" s="6">
        <v>2.8626130000000001</v>
      </c>
      <c r="O74" s="1">
        <v>72</v>
      </c>
      <c r="P74" s="6">
        <v>2.6003720000000001</v>
      </c>
      <c r="Q74" s="1">
        <v>72</v>
      </c>
      <c r="R74" s="6">
        <v>2.8409339999999998</v>
      </c>
      <c r="S74" s="1">
        <v>72</v>
      </c>
      <c r="T74" s="6">
        <v>3.5549249999999999</v>
      </c>
      <c r="U74" s="1">
        <v>59</v>
      </c>
    </row>
    <row r="75" spans="1:21" x14ac:dyDescent="0.2">
      <c r="A75" s="5" t="s">
        <v>167</v>
      </c>
      <c r="B75" s="5" t="s">
        <v>166</v>
      </c>
      <c r="C75" s="3">
        <v>2.7744870000000001</v>
      </c>
      <c r="D75" s="8">
        <v>2.6010439999999999</v>
      </c>
      <c r="E75" s="8">
        <v>2.9479310000000001</v>
      </c>
      <c r="F75" s="2">
        <v>72</v>
      </c>
      <c r="G75" s="5">
        <v>56</v>
      </c>
      <c r="H75" s="5">
        <v>94</v>
      </c>
      <c r="I75" s="7">
        <f>(C75-1)*100/($C$4-1)</f>
        <v>56.975934755735366</v>
      </c>
      <c r="J75" s="6">
        <v>2.4992709999999998</v>
      </c>
      <c r="K75" s="1">
        <v>66</v>
      </c>
      <c r="L75" s="6">
        <v>2.5927669999999998</v>
      </c>
      <c r="M75" s="1">
        <v>62</v>
      </c>
      <c r="N75" s="6">
        <v>2.5405319999999998</v>
      </c>
      <c r="O75" s="1">
        <v>112</v>
      </c>
      <c r="P75" s="6">
        <v>2.7469350000000001</v>
      </c>
      <c r="Q75" s="1">
        <v>61</v>
      </c>
      <c r="R75" s="6">
        <v>2.7538390000000001</v>
      </c>
      <c r="S75" s="1">
        <v>82</v>
      </c>
      <c r="T75" s="6">
        <v>3.5160420000000001</v>
      </c>
      <c r="U75" s="1">
        <v>64</v>
      </c>
    </row>
    <row r="76" spans="1:21" x14ac:dyDescent="0.2">
      <c r="A76" s="5" t="s">
        <v>165</v>
      </c>
      <c r="B76" s="5" t="s">
        <v>164</v>
      </c>
      <c r="C76" s="3">
        <v>2.7735259999999999</v>
      </c>
      <c r="D76" s="8">
        <v>2.6213880000000001</v>
      </c>
      <c r="E76" s="8">
        <v>2.9256639999999998</v>
      </c>
      <c r="F76" s="2">
        <v>73</v>
      </c>
      <c r="G76" s="5">
        <v>56</v>
      </c>
      <c r="H76" s="5">
        <v>90</v>
      </c>
      <c r="I76" s="7">
        <f>(C76-1)*100/($C$4-1)</f>
        <v>56.945078585303989</v>
      </c>
      <c r="J76" s="6">
        <v>2.5511189999999999</v>
      </c>
      <c r="K76" s="1">
        <v>61</v>
      </c>
      <c r="L76" s="6">
        <v>2.5462760000000002</v>
      </c>
      <c r="M76" s="1">
        <v>68</v>
      </c>
      <c r="N76" s="6">
        <v>2.827188</v>
      </c>
      <c r="O76" s="1">
        <v>79</v>
      </c>
      <c r="P76" s="6">
        <v>2.755617</v>
      </c>
      <c r="Q76" s="1">
        <v>60</v>
      </c>
      <c r="R76" s="6">
        <v>2.8164829999999998</v>
      </c>
      <c r="S76" s="1">
        <v>76</v>
      </c>
      <c r="T76" s="6">
        <v>3.09897</v>
      </c>
      <c r="U76" s="1">
        <v>105</v>
      </c>
    </row>
    <row r="77" spans="1:21" x14ac:dyDescent="0.2">
      <c r="A77" s="5" t="s">
        <v>163</v>
      </c>
      <c r="B77" s="5" t="s">
        <v>162</v>
      </c>
      <c r="C77" s="3">
        <v>2.7699760000000002</v>
      </c>
      <c r="D77" s="8">
        <v>2.505414</v>
      </c>
      <c r="E77" s="8">
        <v>3.0345390000000001</v>
      </c>
      <c r="F77" s="2">
        <v>74</v>
      </c>
      <c r="G77" s="5">
        <v>51</v>
      </c>
      <c r="H77" s="5">
        <v>112</v>
      </c>
      <c r="I77" s="7">
        <f>(C77-1)*100/($C$4-1)</f>
        <v>56.831093772576232</v>
      </c>
      <c r="J77" s="6">
        <v>2.6198999999999999</v>
      </c>
      <c r="K77" s="1">
        <v>57</v>
      </c>
      <c r="L77" s="6">
        <v>2.3567230000000001</v>
      </c>
      <c r="M77" s="1">
        <v>87</v>
      </c>
      <c r="N77" s="6">
        <v>2.9697800000000001</v>
      </c>
      <c r="O77" s="1">
        <v>62</v>
      </c>
      <c r="P77" s="6">
        <v>2.5286050000000002</v>
      </c>
      <c r="Q77" s="1">
        <v>87</v>
      </c>
      <c r="R77" s="6">
        <v>2.8202509999999998</v>
      </c>
      <c r="S77" s="1">
        <v>75</v>
      </c>
      <c r="T77" s="6">
        <v>3.2202510000000002</v>
      </c>
      <c r="U77" s="1">
        <v>91</v>
      </c>
    </row>
    <row r="78" spans="1:21" x14ac:dyDescent="0.2">
      <c r="A78" s="5" t="s">
        <v>161</v>
      </c>
      <c r="B78" s="5" t="s">
        <v>160</v>
      </c>
      <c r="C78" s="3">
        <v>2.7603900000000001</v>
      </c>
      <c r="D78" s="8">
        <v>2.5991439999999999</v>
      </c>
      <c r="E78" s="8">
        <v>2.921637</v>
      </c>
      <c r="F78" s="2">
        <v>75</v>
      </c>
      <c r="G78" s="5">
        <v>56</v>
      </c>
      <c r="H78" s="5">
        <v>96</v>
      </c>
      <c r="I78" s="7">
        <f>(C78-1)*100/($C$4-1)</f>
        <v>56.523302669813297</v>
      </c>
      <c r="J78" s="6">
        <v>2.433052</v>
      </c>
      <c r="K78" s="1">
        <v>72</v>
      </c>
      <c r="L78" s="6">
        <v>2.5423960000000001</v>
      </c>
      <c r="M78" s="1">
        <v>69</v>
      </c>
      <c r="N78" s="6">
        <v>2.8241589999999999</v>
      </c>
      <c r="O78" s="1">
        <v>80</v>
      </c>
      <c r="P78" s="6">
        <v>2.4678460000000002</v>
      </c>
      <c r="Q78" s="1">
        <v>92</v>
      </c>
      <c r="R78" s="6">
        <v>2.7725010000000001</v>
      </c>
      <c r="S78" s="1">
        <v>80</v>
      </c>
      <c r="T78" s="6">
        <v>3.4647299999999999</v>
      </c>
      <c r="U78" s="1">
        <v>69</v>
      </c>
    </row>
    <row r="79" spans="1:21" x14ac:dyDescent="0.2">
      <c r="A79" s="5" t="s">
        <v>159</v>
      </c>
      <c r="B79" s="5" t="s">
        <v>158</v>
      </c>
      <c r="C79" s="3">
        <v>2.7534689999999999</v>
      </c>
      <c r="D79" s="8">
        <v>2.6164230000000002</v>
      </c>
      <c r="E79" s="8">
        <v>2.8905159999999999</v>
      </c>
      <c r="F79" s="2">
        <v>76</v>
      </c>
      <c r="G79" s="5">
        <v>57</v>
      </c>
      <c r="H79" s="5">
        <v>91</v>
      </c>
      <c r="I79" s="7">
        <f>(C79-1)*100/($C$4-1)</f>
        <v>56.301080447591076</v>
      </c>
      <c r="J79" s="6">
        <v>2.369767</v>
      </c>
      <c r="K79" s="1">
        <v>84</v>
      </c>
      <c r="L79" s="6">
        <v>2.4364340000000002</v>
      </c>
      <c r="M79" s="1">
        <v>78</v>
      </c>
      <c r="N79" s="6">
        <v>2.866733</v>
      </c>
      <c r="O79" s="1">
        <v>70</v>
      </c>
      <c r="P79" s="6">
        <v>2.5864639999999999</v>
      </c>
      <c r="Q79" s="1">
        <v>78</v>
      </c>
      <c r="R79" s="6">
        <v>2.7208220000000001</v>
      </c>
      <c r="S79" s="1">
        <v>83</v>
      </c>
      <c r="T79" s="6">
        <v>3.4589509999999999</v>
      </c>
      <c r="U79" s="1">
        <v>72</v>
      </c>
    </row>
    <row r="80" spans="1:21" x14ac:dyDescent="0.2">
      <c r="A80" s="5" t="s">
        <v>157</v>
      </c>
      <c r="B80" s="5" t="s">
        <v>156</v>
      </c>
      <c r="C80" s="3">
        <v>2.7527180000000002</v>
      </c>
      <c r="D80" s="8">
        <v>2.6181489999999998</v>
      </c>
      <c r="E80" s="8">
        <v>2.887286</v>
      </c>
      <c r="F80" s="2">
        <v>77</v>
      </c>
      <c r="G80" s="5">
        <v>57</v>
      </c>
      <c r="H80" s="5">
        <v>91</v>
      </c>
      <c r="I80" s="7">
        <f>(C80-1)*100/($C$4-1)</f>
        <v>56.27696704072951</v>
      </c>
      <c r="J80" s="6">
        <v>2.7058819999999999</v>
      </c>
      <c r="K80" s="1">
        <v>51</v>
      </c>
      <c r="L80" s="6">
        <v>2.5798009999999998</v>
      </c>
      <c r="M80" s="1">
        <v>63</v>
      </c>
      <c r="N80" s="6">
        <v>2.7673009999999998</v>
      </c>
      <c r="O80" s="1">
        <v>88</v>
      </c>
      <c r="P80" s="6">
        <v>2.5894900000000001</v>
      </c>
      <c r="Q80" s="1">
        <v>74</v>
      </c>
      <c r="R80" s="6">
        <v>2.777034</v>
      </c>
      <c r="S80" s="1">
        <v>79</v>
      </c>
      <c r="T80" s="6">
        <v>3.0627490000000002</v>
      </c>
      <c r="U80" s="1">
        <v>112</v>
      </c>
    </row>
    <row r="81" spans="1:21" x14ac:dyDescent="0.2">
      <c r="A81" s="5" t="s">
        <v>155</v>
      </c>
      <c r="B81" s="5" t="s">
        <v>154</v>
      </c>
      <c r="C81" s="3">
        <v>2.7462460000000002</v>
      </c>
      <c r="D81" s="8">
        <v>2.5703999999999998</v>
      </c>
      <c r="E81" s="8">
        <v>2.9220920000000001</v>
      </c>
      <c r="F81" s="2">
        <v>78</v>
      </c>
      <c r="G81" s="5">
        <v>56</v>
      </c>
      <c r="H81" s="5">
        <v>104</v>
      </c>
      <c r="I81" s="7">
        <f>(C81-1)*100/($C$4-1)</f>
        <v>56.069161489187508</v>
      </c>
      <c r="J81" s="6">
        <v>2.3812009999999999</v>
      </c>
      <c r="K81" s="1">
        <v>78</v>
      </c>
      <c r="L81" s="6">
        <v>2.3960780000000002</v>
      </c>
      <c r="M81" s="1">
        <v>81</v>
      </c>
      <c r="N81" s="6">
        <v>2.6924510000000001</v>
      </c>
      <c r="O81" s="1">
        <v>99</v>
      </c>
      <c r="P81" s="6">
        <v>2.6901959999999998</v>
      </c>
      <c r="Q81" s="1">
        <v>64</v>
      </c>
      <c r="R81" s="6">
        <v>2.8078430000000001</v>
      </c>
      <c r="S81" s="1">
        <v>77</v>
      </c>
      <c r="T81" s="6">
        <v>3.4600249999999999</v>
      </c>
      <c r="U81" s="1">
        <v>71</v>
      </c>
    </row>
    <row r="82" spans="1:21" x14ac:dyDescent="0.2">
      <c r="A82" s="5" t="s">
        <v>153</v>
      </c>
      <c r="B82" s="5" t="s">
        <v>152</v>
      </c>
      <c r="C82" s="3">
        <v>2.7427820000000001</v>
      </c>
      <c r="D82" s="8">
        <v>2.6040999999999999</v>
      </c>
      <c r="E82" s="8">
        <v>2.8814639999999998</v>
      </c>
      <c r="F82" s="2">
        <v>79</v>
      </c>
      <c r="G82" s="5">
        <v>57</v>
      </c>
      <c r="H82" s="5">
        <v>94</v>
      </c>
      <c r="I82" s="7">
        <f>(C82-1)*100/($C$4-1)</f>
        <v>55.957937998683562</v>
      </c>
      <c r="J82" s="6">
        <v>2.3330829999999998</v>
      </c>
      <c r="K82" s="1">
        <v>90</v>
      </c>
      <c r="L82" s="6">
        <v>2.4854430000000001</v>
      </c>
      <c r="M82" s="1">
        <v>72</v>
      </c>
      <c r="N82" s="6">
        <v>2.9895710000000002</v>
      </c>
      <c r="O82" s="1">
        <v>61</v>
      </c>
      <c r="P82" s="6">
        <v>2.4416169999999999</v>
      </c>
      <c r="Q82" s="1">
        <v>96</v>
      </c>
      <c r="R82" s="6">
        <v>2.6434639999999998</v>
      </c>
      <c r="S82" s="1">
        <v>92</v>
      </c>
      <c r="T82" s="6">
        <v>3.4607519999999998</v>
      </c>
      <c r="U82" s="1">
        <v>70</v>
      </c>
    </row>
    <row r="83" spans="1:21" x14ac:dyDescent="0.2">
      <c r="A83" s="5" t="s">
        <v>151</v>
      </c>
      <c r="B83" s="5" t="s">
        <v>150</v>
      </c>
      <c r="C83" s="3">
        <v>2.7401439999999999</v>
      </c>
      <c r="D83" s="8">
        <v>2.560934</v>
      </c>
      <c r="E83" s="8">
        <v>2.9193549999999999</v>
      </c>
      <c r="F83" s="2">
        <v>80</v>
      </c>
      <c r="G83" s="5">
        <v>56</v>
      </c>
      <c r="H83" s="5">
        <v>104</v>
      </c>
      <c r="I83" s="7">
        <f>(C83-1)*100/($C$4-1)</f>
        <v>55.873236044887541</v>
      </c>
      <c r="J83" s="6">
        <v>2.3698160000000001</v>
      </c>
      <c r="K83" s="1">
        <v>83</v>
      </c>
      <c r="L83" s="6">
        <v>2.4504609999999998</v>
      </c>
      <c r="M83" s="1">
        <v>75</v>
      </c>
      <c r="N83" s="6">
        <v>2.8742670000000001</v>
      </c>
      <c r="O83" s="1">
        <v>68</v>
      </c>
      <c r="P83" s="6">
        <v>2.5894430000000002</v>
      </c>
      <c r="Q83" s="1">
        <v>75</v>
      </c>
      <c r="R83" s="6">
        <v>2.625</v>
      </c>
      <c r="S83" s="1">
        <v>95</v>
      </c>
      <c r="T83" s="6">
        <v>3.445999</v>
      </c>
      <c r="U83" s="1">
        <v>74</v>
      </c>
    </row>
    <row r="84" spans="1:21" x14ac:dyDescent="0.2">
      <c r="A84" s="5" t="s">
        <v>149</v>
      </c>
      <c r="B84" s="5" t="s">
        <v>148</v>
      </c>
      <c r="C84" s="3">
        <v>2.7377189999999998</v>
      </c>
      <c r="D84" s="8">
        <v>2.5658620000000001</v>
      </c>
      <c r="E84" s="8">
        <v>2.9095749999999998</v>
      </c>
      <c r="F84" s="2">
        <v>81</v>
      </c>
      <c r="G84" s="5">
        <v>56</v>
      </c>
      <c r="H84" s="5">
        <v>104</v>
      </c>
      <c r="I84" s="7">
        <f>(C84-1)*100/($C$4-1)</f>
        <v>55.79537317985519</v>
      </c>
      <c r="J84" s="6">
        <v>2.3071429999999999</v>
      </c>
      <c r="K84" s="1">
        <v>93</v>
      </c>
      <c r="L84" s="6">
        <v>2.6928570000000001</v>
      </c>
      <c r="M84" s="1">
        <v>55</v>
      </c>
      <c r="N84" s="6">
        <v>3.1071430000000002</v>
      </c>
      <c r="O84" s="1">
        <v>49</v>
      </c>
      <c r="P84" s="6">
        <v>2.4928569999999999</v>
      </c>
      <c r="Q84" s="1">
        <v>90</v>
      </c>
      <c r="R84" s="6">
        <v>2.3285719999999999</v>
      </c>
      <c r="S84" s="1">
        <v>133</v>
      </c>
      <c r="T84" s="6">
        <v>3.3885719999999999</v>
      </c>
      <c r="U84" s="1">
        <v>78</v>
      </c>
    </row>
    <row r="85" spans="1:21" x14ac:dyDescent="0.2">
      <c r="A85" s="5" t="s">
        <v>147</v>
      </c>
      <c r="B85" s="5" t="s">
        <v>146</v>
      </c>
      <c r="C85" s="3">
        <v>2.7210679999999998</v>
      </c>
      <c r="D85" s="8">
        <v>2.341701</v>
      </c>
      <c r="E85" s="8">
        <v>3.1004360000000002</v>
      </c>
      <c r="F85" s="2">
        <v>82</v>
      </c>
      <c r="G85" s="5">
        <v>48</v>
      </c>
      <c r="H85" s="5">
        <v>131</v>
      </c>
      <c r="I85" s="7">
        <f>(C85-1)*100/($C$4-1)</f>
        <v>55.260736245565028</v>
      </c>
      <c r="J85" s="6">
        <v>2.714286</v>
      </c>
      <c r="K85" s="1">
        <v>50</v>
      </c>
      <c r="L85" s="6">
        <v>2.285714</v>
      </c>
      <c r="M85" s="1">
        <v>96</v>
      </c>
      <c r="N85" s="6">
        <v>3.2414969999999999</v>
      </c>
      <c r="O85" s="1">
        <v>33</v>
      </c>
      <c r="P85" s="6">
        <v>2.4285709999999998</v>
      </c>
      <c r="Q85" s="1">
        <v>97</v>
      </c>
      <c r="R85" s="6">
        <v>2.57483</v>
      </c>
      <c r="S85" s="1">
        <v>100</v>
      </c>
      <c r="T85" s="6">
        <v>2.9081630000000001</v>
      </c>
      <c r="U85" s="1">
        <v>127</v>
      </c>
    </row>
    <row r="86" spans="1:21" x14ac:dyDescent="0.2">
      <c r="A86" s="5" t="s">
        <v>145</v>
      </c>
      <c r="B86" s="5" t="s">
        <v>144</v>
      </c>
      <c r="C86" s="3">
        <v>2.6858219999999999</v>
      </c>
      <c r="D86" s="8">
        <v>2.3198970000000001</v>
      </c>
      <c r="E86" s="8">
        <v>3.0517470000000002</v>
      </c>
      <c r="F86" s="2">
        <v>83</v>
      </c>
      <c r="G86" s="5">
        <v>50</v>
      </c>
      <c r="H86" s="5">
        <v>133</v>
      </c>
      <c r="I86" s="7">
        <f>(C86-1)*100/($C$4-1)</f>
        <v>54.12904365136702</v>
      </c>
      <c r="J86" s="6">
        <v>2.193651</v>
      </c>
      <c r="K86" s="1">
        <v>108</v>
      </c>
      <c r="L86" s="6">
        <v>2.2992059999999999</v>
      </c>
      <c r="M86" s="1">
        <v>95</v>
      </c>
      <c r="N86" s="6">
        <v>3.4096030000000002</v>
      </c>
      <c r="O86" s="1">
        <v>18</v>
      </c>
      <c r="P86" s="6">
        <v>2.5492059999999999</v>
      </c>
      <c r="Q86" s="1">
        <v>84</v>
      </c>
      <c r="R86" s="6">
        <v>2.6742059999999999</v>
      </c>
      <c r="S86" s="1">
        <v>88</v>
      </c>
      <c r="T86" s="6">
        <v>2.7992059999999999</v>
      </c>
      <c r="U86" s="1">
        <v>137</v>
      </c>
    </row>
    <row r="87" spans="1:21" x14ac:dyDescent="0.2">
      <c r="A87" s="5" t="s">
        <v>143</v>
      </c>
      <c r="B87" s="5" t="s">
        <v>142</v>
      </c>
      <c r="C87" s="3">
        <v>2.6775829999999998</v>
      </c>
      <c r="D87" s="8">
        <v>2.5449229999999998</v>
      </c>
      <c r="E87" s="8">
        <v>2.8102420000000001</v>
      </c>
      <c r="F87" s="2">
        <v>84</v>
      </c>
      <c r="G87" s="5">
        <v>67</v>
      </c>
      <c r="H87" s="5">
        <v>105</v>
      </c>
      <c r="I87" s="7">
        <f>(C87-1)*100/($C$4-1)</f>
        <v>53.864502560644738</v>
      </c>
      <c r="J87" s="6">
        <v>2.0562809999999998</v>
      </c>
      <c r="K87" s="1">
        <v>133</v>
      </c>
      <c r="L87" s="6">
        <v>2.4423629999999998</v>
      </c>
      <c r="M87" s="1">
        <v>76</v>
      </c>
      <c r="N87" s="6">
        <v>3.0518519999999998</v>
      </c>
      <c r="O87" s="1">
        <v>56</v>
      </c>
      <c r="P87" s="6">
        <v>2.5338470000000002</v>
      </c>
      <c r="Q87" s="1">
        <v>85</v>
      </c>
      <c r="R87" s="6">
        <v>2.8363710000000002</v>
      </c>
      <c r="S87" s="1">
        <v>73</v>
      </c>
      <c r="T87" s="6">
        <v>3.04589</v>
      </c>
      <c r="U87" s="1">
        <v>116</v>
      </c>
    </row>
    <row r="88" spans="1:21" x14ac:dyDescent="0.2">
      <c r="A88" s="5" t="s">
        <v>141</v>
      </c>
      <c r="B88" s="5" t="s">
        <v>140</v>
      </c>
      <c r="C88" s="3">
        <v>2.6757719999999998</v>
      </c>
      <c r="D88" s="8">
        <v>2.1896399999999998</v>
      </c>
      <c r="E88" s="8">
        <v>3.1619039999999998</v>
      </c>
      <c r="F88" s="2">
        <v>85</v>
      </c>
      <c r="G88" s="5">
        <v>43</v>
      </c>
      <c r="H88" s="5">
        <v>147</v>
      </c>
      <c r="I88" s="7">
        <f>(C88-1)*100/($C$4-1)</f>
        <v>53.806354251954595</v>
      </c>
      <c r="J88" s="6">
        <v>2.5998019999999999</v>
      </c>
      <c r="K88" s="1">
        <v>59</v>
      </c>
      <c r="L88" s="6">
        <v>2.2678569999999998</v>
      </c>
      <c r="M88" s="1">
        <v>98</v>
      </c>
      <c r="N88" s="6">
        <v>2.5605159999999998</v>
      </c>
      <c r="O88" s="1">
        <v>109</v>
      </c>
      <c r="P88" s="6">
        <v>2.9345240000000001</v>
      </c>
      <c r="Q88" s="1">
        <v>49</v>
      </c>
      <c r="R88" s="6">
        <v>2.4345240000000001</v>
      </c>
      <c r="S88" s="1">
        <v>119</v>
      </c>
      <c r="T88" s="6">
        <v>3.1998009999999999</v>
      </c>
      <c r="U88" s="1">
        <v>94</v>
      </c>
    </row>
    <row r="89" spans="1:21" x14ac:dyDescent="0.2">
      <c r="A89" s="5" t="s">
        <v>139</v>
      </c>
      <c r="B89" s="5" t="s">
        <v>138</v>
      </c>
      <c r="C89" s="3">
        <v>2.6737860000000002</v>
      </c>
      <c r="D89" s="8">
        <v>2.506961</v>
      </c>
      <c r="E89" s="8">
        <v>2.8406099999999999</v>
      </c>
      <c r="F89" s="2">
        <v>86</v>
      </c>
      <c r="G89" s="5">
        <v>60</v>
      </c>
      <c r="H89" s="5">
        <v>112</v>
      </c>
      <c r="I89" s="7">
        <f>(C89-1)*100/($C$4-1)</f>
        <v>53.74258697362297</v>
      </c>
      <c r="J89" s="6">
        <v>2.484092</v>
      </c>
      <c r="K89" s="1">
        <v>67</v>
      </c>
      <c r="L89" s="6">
        <v>2.4421580000000001</v>
      </c>
      <c r="M89" s="1">
        <v>77</v>
      </c>
      <c r="N89" s="6">
        <v>2.1805059999999998</v>
      </c>
      <c r="O89" s="1">
        <v>148</v>
      </c>
      <c r="P89" s="6">
        <v>2.6647919999999998</v>
      </c>
      <c r="Q89" s="1">
        <v>68</v>
      </c>
      <c r="R89" s="6">
        <v>2.6764290000000002</v>
      </c>
      <c r="S89" s="1">
        <v>87</v>
      </c>
      <c r="T89" s="6">
        <v>3.6341670000000001</v>
      </c>
      <c r="U89" s="1">
        <v>55</v>
      </c>
    </row>
    <row r="90" spans="1:21" x14ac:dyDescent="0.2">
      <c r="A90" s="5" t="s">
        <v>137</v>
      </c>
      <c r="B90" s="5" t="s">
        <v>136</v>
      </c>
      <c r="C90" s="3">
        <v>2.6616819999999999</v>
      </c>
      <c r="D90" s="8">
        <v>2.3959890000000001</v>
      </c>
      <c r="E90" s="8">
        <v>2.9273760000000002</v>
      </c>
      <c r="F90" s="2">
        <v>87</v>
      </c>
      <c r="G90" s="5">
        <v>56</v>
      </c>
      <c r="H90" s="5">
        <v>125</v>
      </c>
      <c r="I90" s="7">
        <f>(C90-1)*100/($C$4-1)</f>
        <v>53.353946924818189</v>
      </c>
      <c r="J90" s="6">
        <v>2.3344450000000001</v>
      </c>
      <c r="K90" s="1">
        <v>89</v>
      </c>
      <c r="L90" s="6">
        <v>2.2233329999999998</v>
      </c>
      <c r="M90" s="1">
        <v>105</v>
      </c>
      <c r="N90" s="6">
        <v>3.1</v>
      </c>
      <c r="O90" s="1">
        <v>50</v>
      </c>
      <c r="P90" s="6">
        <v>2.3024079999999998</v>
      </c>
      <c r="Q90" s="1">
        <v>116</v>
      </c>
      <c r="R90" s="6">
        <v>2.6774079999999998</v>
      </c>
      <c r="S90" s="1">
        <v>86</v>
      </c>
      <c r="T90" s="6">
        <v>3.1774079999999998</v>
      </c>
      <c r="U90" s="1">
        <v>96</v>
      </c>
    </row>
    <row r="91" spans="1:21" x14ac:dyDescent="0.2">
      <c r="A91" s="5" t="s">
        <v>135</v>
      </c>
      <c r="B91" s="5" t="s">
        <v>134</v>
      </c>
      <c r="C91" s="3">
        <v>2.6575410000000002</v>
      </c>
      <c r="D91" s="8">
        <v>2.382962</v>
      </c>
      <c r="E91" s="8">
        <v>2.9321199999999998</v>
      </c>
      <c r="F91" s="2">
        <v>88</v>
      </c>
      <c r="G91" s="5">
        <v>56</v>
      </c>
      <c r="H91" s="5">
        <v>126</v>
      </c>
      <c r="I91" s="7">
        <f>(C91-1)*100/($C$4-1)</f>
        <v>53.220986048901104</v>
      </c>
      <c r="J91" s="6">
        <v>2.348214</v>
      </c>
      <c r="K91" s="1">
        <v>87</v>
      </c>
      <c r="L91" s="6">
        <v>2.6339290000000002</v>
      </c>
      <c r="M91" s="1">
        <v>60</v>
      </c>
      <c r="N91" s="6">
        <v>3.0625</v>
      </c>
      <c r="O91" s="1">
        <v>53</v>
      </c>
      <c r="P91" s="6">
        <v>2.401786</v>
      </c>
      <c r="Q91" s="1">
        <v>102</v>
      </c>
      <c r="R91" s="6">
        <v>2.5053570000000001</v>
      </c>
      <c r="S91" s="1">
        <v>109</v>
      </c>
      <c r="T91" s="6">
        <v>2.901786</v>
      </c>
      <c r="U91" s="1">
        <v>128</v>
      </c>
    </row>
    <row r="92" spans="1:21" x14ac:dyDescent="0.2">
      <c r="A92" s="5" t="s">
        <v>133</v>
      </c>
      <c r="B92" s="5" t="s">
        <v>132</v>
      </c>
      <c r="C92" s="3">
        <v>2.639554</v>
      </c>
      <c r="D92" s="8">
        <v>2.4409239999999999</v>
      </c>
      <c r="E92" s="8">
        <v>2.838184</v>
      </c>
      <c r="F92" s="2">
        <v>89</v>
      </c>
      <c r="G92" s="5">
        <v>61</v>
      </c>
      <c r="H92" s="5">
        <v>120</v>
      </c>
      <c r="I92" s="7">
        <f>(C92-1)*100/($C$4-1)</f>
        <v>52.64345229494775</v>
      </c>
      <c r="J92" s="6">
        <v>2.1431100000000001</v>
      </c>
      <c r="K92" s="1">
        <v>117</v>
      </c>
      <c r="L92" s="6">
        <v>2.229257</v>
      </c>
      <c r="M92" s="1">
        <v>104</v>
      </c>
      <c r="N92" s="6">
        <v>3.0519479999999999</v>
      </c>
      <c r="O92" s="1">
        <v>55</v>
      </c>
      <c r="P92" s="6">
        <v>2.477633</v>
      </c>
      <c r="Q92" s="1">
        <v>91</v>
      </c>
      <c r="R92" s="6">
        <v>2.6461039999999998</v>
      </c>
      <c r="S92" s="1">
        <v>91</v>
      </c>
      <c r="T92" s="6">
        <v>3.1461039999999998</v>
      </c>
      <c r="U92" s="1">
        <v>100</v>
      </c>
    </row>
    <row r="93" spans="1:21" x14ac:dyDescent="0.2">
      <c r="A93" s="5" t="s">
        <v>131</v>
      </c>
      <c r="B93" s="5" t="s">
        <v>130</v>
      </c>
      <c r="C93" s="3">
        <v>2.631329</v>
      </c>
      <c r="D93" s="8">
        <v>2.4338630000000001</v>
      </c>
      <c r="E93" s="8">
        <v>2.8287949999999999</v>
      </c>
      <c r="F93" s="2">
        <v>90</v>
      </c>
      <c r="G93" s="5">
        <v>64</v>
      </c>
      <c r="H93" s="5">
        <v>120</v>
      </c>
      <c r="I93" s="7">
        <f>(C93-1)*100/($C$4-1)</f>
        <v>52.379360721796793</v>
      </c>
      <c r="J93" s="6">
        <v>2.3280180000000001</v>
      </c>
      <c r="K93" s="1">
        <v>91</v>
      </c>
      <c r="L93" s="6">
        <v>2.3702589999999999</v>
      </c>
      <c r="M93" s="1">
        <v>84</v>
      </c>
      <c r="N93" s="6">
        <v>2.1617570000000002</v>
      </c>
      <c r="O93" s="1">
        <v>150</v>
      </c>
      <c r="P93" s="6">
        <v>2.7381329999999999</v>
      </c>
      <c r="Q93" s="1">
        <v>62</v>
      </c>
      <c r="R93" s="6">
        <v>2.7081240000000002</v>
      </c>
      <c r="S93" s="1">
        <v>84</v>
      </c>
      <c r="T93" s="6">
        <v>3.5200309999999999</v>
      </c>
      <c r="U93" s="1">
        <v>61</v>
      </c>
    </row>
    <row r="94" spans="1:21" x14ac:dyDescent="0.2">
      <c r="A94" s="5" t="s">
        <v>129</v>
      </c>
      <c r="B94" s="5" t="s">
        <v>128</v>
      </c>
      <c r="C94" s="3">
        <v>2.6191209999999998</v>
      </c>
      <c r="D94" s="8">
        <v>2.3809719999999999</v>
      </c>
      <c r="E94" s="8">
        <v>2.8572690000000001</v>
      </c>
      <c r="F94" s="2">
        <v>91</v>
      </c>
      <c r="G94" s="5">
        <v>59</v>
      </c>
      <c r="H94" s="5">
        <v>127</v>
      </c>
      <c r="I94" s="7">
        <f>(C94-1)*100/($C$4-1)</f>
        <v>51.987381399605063</v>
      </c>
      <c r="J94" s="6">
        <v>2.439854</v>
      </c>
      <c r="K94" s="1">
        <v>71</v>
      </c>
      <c r="L94" s="6">
        <v>2.0909900000000001</v>
      </c>
      <c r="M94" s="1">
        <v>118</v>
      </c>
      <c r="N94" s="6">
        <v>3.1787339999999999</v>
      </c>
      <c r="O94" s="1">
        <v>39</v>
      </c>
      <c r="P94" s="6">
        <v>2.371699</v>
      </c>
      <c r="Q94" s="1">
        <v>107</v>
      </c>
      <c r="R94" s="6">
        <v>2.3290039999999999</v>
      </c>
      <c r="S94" s="1">
        <v>132</v>
      </c>
      <c r="T94" s="6">
        <v>3.0986470000000002</v>
      </c>
      <c r="U94" s="1">
        <v>106</v>
      </c>
    </row>
    <row r="95" spans="1:21" x14ac:dyDescent="0.2">
      <c r="A95" s="5" t="s">
        <v>127</v>
      </c>
      <c r="B95" s="5" t="s">
        <v>126</v>
      </c>
      <c r="C95" s="3">
        <v>2.6146129999999999</v>
      </c>
      <c r="D95" s="8">
        <v>2.240186</v>
      </c>
      <c r="E95" s="8">
        <v>2.989039</v>
      </c>
      <c r="F95" s="2">
        <v>92</v>
      </c>
      <c r="G95" s="5">
        <v>52</v>
      </c>
      <c r="H95" s="5">
        <v>143</v>
      </c>
      <c r="I95" s="7">
        <f>(C95-1)*100/($C$4-1)</f>
        <v>51.84263674163978</v>
      </c>
      <c r="J95" s="6">
        <v>2.1111110000000002</v>
      </c>
      <c r="K95" s="1">
        <v>122</v>
      </c>
      <c r="L95" s="6">
        <v>2.2175919999999998</v>
      </c>
      <c r="M95" s="1">
        <v>106</v>
      </c>
      <c r="N95" s="6">
        <v>2.5555560000000002</v>
      </c>
      <c r="O95" s="1">
        <v>110</v>
      </c>
      <c r="P95" s="6">
        <v>2.8701500000000002</v>
      </c>
      <c r="Q95" s="1">
        <v>54</v>
      </c>
      <c r="R95" s="6">
        <v>2.563272</v>
      </c>
      <c r="S95" s="1">
        <v>101</v>
      </c>
      <c r="T95" s="6">
        <v>3.313272</v>
      </c>
      <c r="U95" s="1">
        <v>81</v>
      </c>
    </row>
    <row r="96" spans="1:21" x14ac:dyDescent="0.2">
      <c r="A96" s="5" t="s">
        <v>125</v>
      </c>
      <c r="B96" s="5" t="s">
        <v>124</v>
      </c>
      <c r="C96" s="3">
        <v>2.6128269999999998</v>
      </c>
      <c r="D96" s="8">
        <v>2.4774539999999998</v>
      </c>
      <c r="E96" s="8">
        <v>2.7482000000000002</v>
      </c>
      <c r="F96" s="2">
        <v>93</v>
      </c>
      <c r="G96" s="5">
        <v>78</v>
      </c>
      <c r="H96" s="5">
        <v>115</v>
      </c>
      <c r="I96" s="7">
        <f>(C96-1)*100/($C$4-1)</f>
        <v>51.785291142898423</v>
      </c>
      <c r="J96" s="6">
        <v>2.3748939999999998</v>
      </c>
      <c r="K96" s="1">
        <v>81</v>
      </c>
      <c r="L96" s="6">
        <v>2.1719059999999999</v>
      </c>
      <c r="M96" s="1">
        <v>109</v>
      </c>
      <c r="N96" s="6">
        <v>2.7303700000000002</v>
      </c>
      <c r="O96" s="1">
        <v>95</v>
      </c>
      <c r="P96" s="6">
        <v>2.5666350000000002</v>
      </c>
      <c r="Q96" s="1">
        <v>83</v>
      </c>
      <c r="R96" s="6">
        <v>2.6675209999999998</v>
      </c>
      <c r="S96" s="1">
        <v>89</v>
      </c>
      <c r="T96" s="6">
        <v>3.0752470000000001</v>
      </c>
      <c r="U96" s="1">
        <v>111</v>
      </c>
    </row>
    <row r="97" spans="1:21" x14ac:dyDescent="0.2">
      <c r="A97" s="5" t="s">
        <v>123</v>
      </c>
      <c r="B97" s="5" t="s">
        <v>122</v>
      </c>
      <c r="C97" s="3">
        <v>2.6085720000000001</v>
      </c>
      <c r="D97" s="8">
        <v>2.5051730000000001</v>
      </c>
      <c r="E97" s="8">
        <v>2.71197</v>
      </c>
      <c r="F97" s="2">
        <v>94</v>
      </c>
      <c r="G97" s="5">
        <v>83</v>
      </c>
      <c r="H97" s="5">
        <v>112</v>
      </c>
      <c r="I97" s="7">
        <f>(C97-1)*100/($C$4-1)</f>
        <v>51.648669909614867</v>
      </c>
      <c r="J97" s="6">
        <v>2.1485280000000002</v>
      </c>
      <c r="K97" s="1">
        <v>115</v>
      </c>
      <c r="L97" s="6">
        <v>2.3788740000000002</v>
      </c>
      <c r="M97" s="1">
        <v>83</v>
      </c>
      <c r="N97" s="6">
        <v>2.7183489999999999</v>
      </c>
      <c r="O97" s="1">
        <v>96</v>
      </c>
      <c r="P97" s="6">
        <v>2.5080939999999998</v>
      </c>
      <c r="Q97" s="1">
        <v>88</v>
      </c>
      <c r="R97" s="6">
        <v>2.6002779999999999</v>
      </c>
      <c r="S97" s="1">
        <v>97</v>
      </c>
      <c r="T97" s="6">
        <v>3.2331129999999999</v>
      </c>
      <c r="U97" s="1">
        <v>88</v>
      </c>
    </row>
    <row r="98" spans="1:21" x14ac:dyDescent="0.2">
      <c r="A98" s="5" t="s">
        <v>121</v>
      </c>
      <c r="B98" s="5" t="s">
        <v>120</v>
      </c>
      <c r="C98" s="3">
        <v>2.5995140000000001</v>
      </c>
      <c r="D98" s="8">
        <v>2.4063650000000001</v>
      </c>
      <c r="E98" s="8">
        <v>2.7926639999999998</v>
      </c>
      <c r="F98" s="2">
        <v>95</v>
      </c>
      <c r="G98" s="5">
        <v>68</v>
      </c>
      <c r="H98" s="5">
        <v>124</v>
      </c>
      <c r="I98" s="7">
        <f>(C98-1)*100/($C$4-1)</f>
        <v>51.357832040970322</v>
      </c>
      <c r="J98" s="6">
        <v>2.415292</v>
      </c>
      <c r="K98" s="1">
        <v>74</v>
      </c>
      <c r="L98" s="6">
        <v>1.9950779999999999</v>
      </c>
      <c r="M98" s="1">
        <v>129</v>
      </c>
      <c r="N98" s="6">
        <v>2.7800319999999998</v>
      </c>
      <c r="O98" s="1">
        <v>85</v>
      </c>
      <c r="P98" s="6">
        <v>2.3763130000000001</v>
      </c>
      <c r="Q98" s="1">
        <v>105</v>
      </c>
      <c r="R98" s="6">
        <v>2.5575899999999998</v>
      </c>
      <c r="S98" s="1">
        <v>103</v>
      </c>
      <c r="T98" s="6">
        <v>3.334206</v>
      </c>
      <c r="U98" s="1">
        <v>80</v>
      </c>
    </row>
    <row r="99" spans="1:21" x14ac:dyDescent="0.2">
      <c r="A99" s="5" t="s">
        <v>119</v>
      </c>
      <c r="B99" s="5" t="s">
        <v>118</v>
      </c>
      <c r="C99" s="3">
        <v>2.5994169999999999</v>
      </c>
      <c r="D99" s="8">
        <v>2.313342</v>
      </c>
      <c r="E99" s="8">
        <v>2.8854929999999999</v>
      </c>
      <c r="F99" s="2">
        <v>96</v>
      </c>
      <c r="G99" s="5">
        <v>57</v>
      </c>
      <c r="H99" s="5">
        <v>134</v>
      </c>
      <c r="I99" s="7">
        <f>(C99-1)*100/($C$4-1)</f>
        <v>51.354717526369022</v>
      </c>
      <c r="J99" s="6">
        <v>2.4047619999999998</v>
      </c>
      <c r="K99" s="1">
        <v>75</v>
      </c>
      <c r="L99" s="6">
        <v>1.8238099999999999</v>
      </c>
      <c r="M99" s="1">
        <v>142</v>
      </c>
      <c r="N99" s="6">
        <v>2.42381</v>
      </c>
      <c r="O99" s="1">
        <v>126</v>
      </c>
      <c r="P99" s="6">
        <v>2.4523809999999999</v>
      </c>
      <c r="Q99" s="1">
        <v>94</v>
      </c>
      <c r="R99" s="6">
        <v>3.42381</v>
      </c>
      <c r="S99" s="1">
        <v>35</v>
      </c>
      <c r="T99" s="6">
        <v>3.023809</v>
      </c>
      <c r="U99" s="1">
        <v>118</v>
      </c>
    </row>
    <row r="100" spans="1:21" x14ac:dyDescent="0.2">
      <c r="A100" s="5" t="s">
        <v>117</v>
      </c>
      <c r="B100" s="5" t="s">
        <v>116</v>
      </c>
      <c r="C100" s="3">
        <v>2.5960049999999999</v>
      </c>
      <c r="D100" s="8">
        <v>2.1744669999999999</v>
      </c>
      <c r="E100" s="8">
        <v>3.0175429999999999</v>
      </c>
      <c r="F100" s="2">
        <v>97</v>
      </c>
      <c r="G100" s="5">
        <v>52</v>
      </c>
      <c r="H100" s="5">
        <v>147</v>
      </c>
      <c r="I100" s="7">
        <f>(C100-1)*100/($C$4-1)</f>
        <v>51.245163672558554</v>
      </c>
      <c r="J100" s="6">
        <v>2.3367</v>
      </c>
      <c r="K100" s="1">
        <v>88</v>
      </c>
      <c r="L100" s="6">
        <v>2.1017800000000002</v>
      </c>
      <c r="M100" s="1">
        <v>116</v>
      </c>
      <c r="N100" s="6">
        <v>2.4343430000000001</v>
      </c>
      <c r="O100" s="1">
        <v>124</v>
      </c>
      <c r="P100" s="6">
        <v>2.6801349999999999</v>
      </c>
      <c r="Q100" s="1">
        <v>67</v>
      </c>
      <c r="R100" s="6">
        <v>2.8888889999999998</v>
      </c>
      <c r="S100" s="1">
        <v>68</v>
      </c>
      <c r="T100" s="6">
        <v>3.10101</v>
      </c>
      <c r="U100" s="1">
        <v>104</v>
      </c>
    </row>
    <row r="101" spans="1:21" x14ac:dyDescent="0.2">
      <c r="A101" s="5" t="s">
        <v>115</v>
      </c>
      <c r="B101" s="5" t="s">
        <v>114</v>
      </c>
      <c r="C101" s="3">
        <v>2.5916039999999998</v>
      </c>
      <c r="D101" s="8">
        <v>2.3820600000000001</v>
      </c>
      <c r="E101" s="8">
        <v>2.8011469999999998</v>
      </c>
      <c r="F101" s="2">
        <v>98</v>
      </c>
      <c r="G101" s="5">
        <v>68</v>
      </c>
      <c r="H101" s="5">
        <v>126</v>
      </c>
      <c r="I101" s="7">
        <f>(C101-1)*100/($C$4-1)</f>
        <v>51.103854613174072</v>
      </c>
      <c r="J101" s="6">
        <v>2.1244969999999999</v>
      </c>
      <c r="K101" s="1">
        <v>121</v>
      </c>
      <c r="L101" s="6">
        <v>2.1739039999999998</v>
      </c>
      <c r="M101" s="1">
        <v>108</v>
      </c>
      <c r="N101" s="6">
        <v>3.1690450000000001</v>
      </c>
      <c r="O101" s="1">
        <v>41</v>
      </c>
      <c r="P101" s="6">
        <v>2.456413</v>
      </c>
      <c r="Q101" s="1">
        <v>93</v>
      </c>
      <c r="R101" s="6">
        <v>2.4269599999999998</v>
      </c>
      <c r="S101" s="1">
        <v>120</v>
      </c>
      <c r="T101" s="6">
        <v>3.0167630000000001</v>
      </c>
      <c r="U101" s="1">
        <v>119</v>
      </c>
    </row>
    <row r="102" spans="1:21" x14ac:dyDescent="0.2">
      <c r="A102" s="5" t="s">
        <v>113</v>
      </c>
      <c r="B102" s="5" t="s">
        <v>112</v>
      </c>
      <c r="C102" s="3">
        <v>2.589852</v>
      </c>
      <c r="D102" s="8">
        <v>2.3876979999999999</v>
      </c>
      <c r="E102" s="8">
        <v>2.7920069999999999</v>
      </c>
      <c r="F102" s="2">
        <v>99</v>
      </c>
      <c r="G102" s="5">
        <v>68</v>
      </c>
      <c r="H102" s="5">
        <v>126</v>
      </c>
      <c r="I102" s="7">
        <f>(C102-1)*100/($C$4-1)</f>
        <v>51.047600699963077</v>
      </c>
      <c r="J102" s="6">
        <v>2.2272729999999998</v>
      </c>
      <c r="K102" s="1">
        <v>103</v>
      </c>
      <c r="L102" s="6">
        <v>2.1390500000000001</v>
      </c>
      <c r="M102" s="1">
        <v>113</v>
      </c>
      <c r="N102" s="6">
        <v>2.8390499999999999</v>
      </c>
      <c r="O102" s="1">
        <v>75</v>
      </c>
      <c r="P102" s="6">
        <v>2.2776169999999998</v>
      </c>
      <c r="Q102" s="1">
        <v>122</v>
      </c>
      <c r="R102" s="6">
        <v>2.888728</v>
      </c>
      <c r="S102" s="1">
        <v>69</v>
      </c>
      <c r="T102" s="6">
        <v>3.0621299999999998</v>
      </c>
      <c r="U102" s="1">
        <v>113</v>
      </c>
    </row>
    <row r="103" spans="1:21" x14ac:dyDescent="0.2">
      <c r="A103" s="5" t="s">
        <v>111</v>
      </c>
      <c r="B103" s="5" t="s">
        <v>110</v>
      </c>
      <c r="C103" s="3">
        <v>2.5875699999999999</v>
      </c>
      <c r="D103" s="8">
        <v>2.4047939999999999</v>
      </c>
      <c r="E103" s="8">
        <v>2.7703470000000001</v>
      </c>
      <c r="F103" s="2">
        <v>100</v>
      </c>
      <c r="G103" s="5">
        <v>74</v>
      </c>
      <c r="H103" s="5">
        <v>124</v>
      </c>
      <c r="I103" s="7">
        <f>(C103-1)*100/($C$4-1)</f>
        <v>50.974329335837794</v>
      </c>
      <c r="J103" s="6">
        <v>2.172186</v>
      </c>
      <c r="K103" s="1">
        <v>109</v>
      </c>
      <c r="L103" s="6">
        <v>2.4346839999999998</v>
      </c>
      <c r="M103" s="1">
        <v>80</v>
      </c>
      <c r="N103" s="6">
        <v>2.8420909999999999</v>
      </c>
      <c r="O103" s="1">
        <v>74</v>
      </c>
      <c r="P103" s="6">
        <v>2.4468160000000001</v>
      </c>
      <c r="Q103" s="1">
        <v>95</v>
      </c>
      <c r="R103" s="6">
        <v>2.4468160000000001</v>
      </c>
      <c r="S103" s="1">
        <v>116</v>
      </c>
      <c r="T103" s="6">
        <v>3.0975130000000002</v>
      </c>
      <c r="U103" s="1">
        <v>107</v>
      </c>
    </row>
    <row r="104" spans="1:21" x14ac:dyDescent="0.2">
      <c r="A104" s="5" t="s">
        <v>109</v>
      </c>
      <c r="B104" s="5" t="s">
        <v>108</v>
      </c>
      <c r="C104" s="3">
        <v>2.5833200000000001</v>
      </c>
      <c r="D104" s="8">
        <v>2.006408</v>
      </c>
      <c r="E104" s="8">
        <v>3.1602320000000002</v>
      </c>
      <c r="F104" s="2">
        <v>101</v>
      </c>
      <c r="G104" s="5">
        <v>43</v>
      </c>
      <c r="H104" s="5">
        <v>152</v>
      </c>
      <c r="I104" s="7">
        <f>(C104-1)*100/($C$4-1)</f>
        <v>50.837868644543981</v>
      </c>
      <c r="J104" s="6">
        <v>2.464286</v>
      </c>
      <c r="K104" s="1">
        <v>69</v>
      </c>
      <c r="L104" s="6">
        <v>2.348214</v>
      </c>
      <c r="M104" s="1">
        <v>88</v>
      </c>
      <c r="N104" s="6">
        <v>2.2389290000000002</v>
      </c>
      <c r="O104" s="1">
        <v>142</v>
      </c>
      <c r="P104" s="6">
        <v>2.3505950000000002</v>
      </c>
      <c r="Q104" s="1">
        <v>110</v>
      </c>
      <c r="R104" s="6">
        <v>2.6309520000000002</v>
      </c>
      <c r="S104" s="1">
        <v>94</v>
      </c>
      <c r="T104" s="6">
        <v>3.4791669999999999</v>
      </c>
      <c r="U104" s="1">
        <v>68</v>
      </c>
    </row>
    <row r="105" spans="1:21" x14ac:dyDescent="0.2">
      <c r="A105" s="5" t="s">
        <v>107</v>
      </c>
      <c r="B105" s="5" t="s">
        <v>106</v>
      </c>
      <c r="C105" s="3">
        <v>2.574824</v>
      </c>
      <c r="D105" s="8">
        <v>2.2593809999999999</v>
      </c>
      <c r="E105" s="8">
        <v>2.890266</v>
      </c>
      <c r="F105" s="2">
        <v>102</v>
      </c>
      <c r="G105" s="5">
        <v>57</v>
      </c>
      <c r="H105" s="5">
        <v>140</v>
      </c>
      <c r="I105" s="7">
        <f>(C105-1)*100/($C$4-1)</f>
        <v>50.565075695548181</v>
      </c>
      <c r="J105" s="6">
        <v>2.0248050000000002</v>
      </c>
      <c r="K105" s="1">
        <v>135</v>
      </c>
      <c r="L105" s="6">
        <v>2.4350649999999998</v>
      </c>
      <c r="M105" s="1">
        <v>79</v>
      </c>
      <c r="N105" s="6">
        <v>2.787013</v>
      </c>
      <c r="O105" s="1">
        <v>84</v>
      </c>
      <c r="P105" s="6">
        <v>2.5870129999999998</v>
      </c>
      <c r="Q105" s="1">
        <v>77</v>
      </c>
      <c r="R105" s="6">
        <v>2.4870130000000001</v>
      </c>
      <c r="S105" s="1">
        <v>112</v>
      </c>
      <c r="T105" s="6">
        <v>3.0584419999999999</v>
      </c>
      <c r="U105" s="1">
        <v>114</v>
      </c>
    </row>
    <row r="106" spans="1:21" x14ac:dyDescent="0.2">
      <c r="A106" s="5" t="s">
        <v>105</v>
      </c>
      <c r="B106" s="5" t="s">
        <v>104</v>
      </c>
      <c r="C106" s="3">
        <v>2.573985</v>
      </c>
      <c r="D106" s="8">
        <v>2.405405</v>
      </c>
      <c r="E106" s="8">
        <v>2.7425639999999998</v>
      </c>
      <c r="F106" s="2">
        <v>103</v>
      </c>
      <c r="G106" s="5">
        <v>80</v>
      </c>
      <c r="H106" s="5">
        <v>124</v>
      </c>
      <c r="I106" s="7">
        <f>(C106-1)*100/($C$4-1)</f>
        <v>50.538136749666876</v>
      </c>
      <c r="J106" s="6">
        <v>2.215808</v>
      </c>
      <c r="K106" s="1">
        <v>106</v>
      </c>
      <c r="L106" s="6">
        <v>2.3630949999999999</v>
      </c>
      <c r="M106" s="1">
        <v>86</v>
      </c>
      <c r="N106" s="6">
        <v>2.4417390000000001</v>
      </c>
      <c r="O106" s="1">
        <v>121</v>
      </c>
      <c r="P106" s="6">
        <v>2.6453099999999998</v>
      </c>
      <c r="Q106" s="1">
        <v>69</v>
      </c>
      <c r="R106" s="6">
        <v>2.5</v>
      </c>
      <c r="S106" s="1">
        <v>110</v>
      </c>
      <c r="T106" s="6">
        <v>3.257511</v>
      </c>
      <c r="U106" s="1">
        <v>85</v>
      </c>
    </row>
    <row r="107" spans="1:21" x14ac:dyDescent="0.2">
      <c r="A107" s="5" t="s">
        <v>103</v>
      </c>
      <c r="B107" s="5" t="s">
        <v>102</v>
      </c>
      <c r="C107" s="3">
        <v>2.5732849999999998</v>
      </c>
      <c r="D107" s="8">
        <v>2.431889</v>
      </c>
      <c r="E107" s="8">
        <v>2.71468</v>
      </c>
      <c r="F107" s="2">
        <v>104</v>
      </c>
      <c r="G107" s="5">
        <v>83</v>
      </c>
      <c r="H107" s="5">
        <v>120</v>
      </c>
      <c r="I107" s="7">
        <f>(C107-1)*100/($C$4-1)</f>
        <v>50.515660871100842</v>
      </c>
      <c r="J107" s="6">
        <v>2.1087799999999999</v>
      </c>
      <c r="K107" s="1">
        <v>124</v>
      </c>
      <c r="L107" s="6">
        <v>2.045833</v>
      </c>
      <c r="M107" s="1">
        <v>123</v>
      </c>
      <c r="N107" s="6">
        <v>2.8315480000000002</v>
      </c>
      <c r="O107" s="1">
        <v>78</v>
      </c>
      <c r="P107" s="6">
        <v>2.1688000000000001</v>
      </c>
      <c r="Q107" s="1">
        <v>132</v>
      </c>
      <c r="R107" s="6">
        <v>3.0021330000000002</v>
      </c>
      <c r="S107" s="1">
        <v>61</v>
      </c>
      <c r="T107" s="6">
        <v>3.1688000000000001</v>
      </c>
      <c r="U107" s="1">
        <v>97</v>
      </c>
    </row>
    <row r="108" spans="1:21" x14ac:dyDescent="0.2">
      <c r="A108" s="5" t="s">
        <v>101</v>
      </c>
      <c r="B108" s="5" t="s">
        <v>100</v>
      </c>
      <c r="C108" s="3">
        <v>2.5482819999999999</v>
      </c>
      <c r="D108" s="8">
        <v>2.2528269999999999</v>
      </c>
      <c r="E108" s="8">
        <v>2.843737</v>
      </c>
      <c r="F108" s="2">
        <v>105</v>
      </c>
      <c r="G108" s="5">
        <v>59</v>
      </c>
      <c r="H108" s="5">
        <v>140</v>
      </c>
      <c r="I108" s="7">
        <f>(C108-1)*100/($C$4-1)</f>
        <v>49.712854597119872</v>
      </c>
      <c r="J108" s="6">
        <v>2.1109650000000002</v>
      </c>
      <c r="K108" s="1">
        <v>123</v>
      </c>
      <c r="L108" s="6">
        <v>2.1017990000000002</v>
      </c>
      <c r="M108" s="1">
        <v>115</v>
      </c>
      <c r="N108" s="6">
        <v>2.6859259999999998</v>
      </c>
      <c r="O108" s="1">
        <v>100</v>
      </c>
      <c r="P108" s="6">
        <v>2.5333329999999998</v>
      </c>
      <c r="Q108" s="1">
        <v>86</v>
      </c>
      <c r="R108" s="6">
        <v>2.6</v>
      </c>
      <c r="S108" s="1">
        <v>98</v>
      </c>
      <c r="T108" s="6">
        <v>3.1613509999999998</v>
      </c>
      <c r="U108" s="1">
        <v>99</v>
      </c>
    </row>
    <row r="109" spans="1:21" x14ac:dyDescent="0.2">
      <c r="A109" s="5" t="s">
        <v>99</v>
      </c>
      <c r="B109" s="5" t="s">
        <v>98</v>
      </c>
      <c r="C109" s="3">
        <v>2.539425</v>
      </c>
      <c r="D109" s="8">
        <v>2.2585099999999998</v>
      </c>
      <c r="E109" s="8">
        <v>2.8203390000000002</v>
      </c>
      <c r="F109" s="2">
        <v>106</v>
      </c>
      <c r="G109" s="5">
        <v>66</v>
      </c>
      <c r="H109" s="5">
        <v>140</v>
      </c>
      <c r="I109" s="7">
        <f>(C109-1)*100/($C$4-1)</f>
        <v>49.428470516463584</v>
      </c>
      <c r="J109" s="6">
        <v>2.0625</v>
      </c>
      <c r="K109" s="1">
        <v>132</v>
      </c>
      <c r="L109" s="6">
        <v>2.280357</v>
      </c>
      <c r="M109" s="1">
        <v>97</v>
      </c>
      <c r="N109" s="6">
        <v>2.6625000000000001</v>
      </c>
      <c r="O109" s="1">
        <v>102</v>
      </c>
      <c r="P109" s="6">
        <v>2.4232140000000002</v>
      </c>
      <c r="Q109" s="1">
        <v>98</v>
      </c>
      <c r="R109" s="6">
        <v>2.4500000000000002</v>
      </c>
      <c r="S109" s="1">
        <v>115</v>
      </c>
      <c r="T109" s="6">
        <v>3.280357</v>
      </c>
      <c r="U109" s="1">
        <v>83</v>
      </c>
    </row>
    <row r="110" spans="1:21" x14ac:dyDescent="0.2">
      <c r="A110" s="5" t="s">
        <v>97</v>
      </c>
      <c r="B110" s="5" t="s">
        <v>96</v>
      </c>
      <c r="C110" s="3">
        <v>2.5366249999999999</v>
      </c>
      <c r="D110" s="8">
        <v>2.3253300000000001</v>
      </c>
      <c r="E110" s="8">
        <v>2.7479200000000001</v>
      </c>
      <c r="F110" s="2">
        <v>107</v>
      </c>
      <c r="G110" s="5">
        <v>78</v>
      </c>
      <c r="H110" s="5">
        <v>133</v>
      </c>
      <c r="I110" s="7">
        <f>(C110-1)*100/($C$4-1)</f>
        <v>49.338567002199426</v>
      </c>
      <c r="J110" s="6">
        <v>2.2425139999999999</v>
      </c>
      <c r="K110" s="1">
        <v>101</v>
      </c>
      <c r="L110" s="6">
        <v>2.2334679999999998</v>
      </c>
      <c r="M110" s="1">
        <v>102</v>
      </c>
      <c r="N110" s="6">
        <v>2.6326109999999998</v>
      </c>
      <c r="O110" s="1">
        <v>106</v>
      </c>
      <c r="P110" s="6">
        <v>2.3139949999999998</v>
      </c>
      <c r="Q110" s="1">
        <v>114</v>
      </c>
      <c r="R110" s="6">
        <v>2.5093800000000002</v>
      </c>
      <c r="S110" s="1">
        <v>107</v>
      </c>
      <c r="T110" s="6">
        <v>3.2109730000000001</v>
      </c>
      <c r="U110" s="1">
        <v>92</v>
      </c>
    </row>
    <row r="111" spans="1:21" x14ac:dyDescent="0.2">
      <c r="A111" s="5" t="s">
        <v>95</v>
      </c>
      <c r="B111" s="5" t="s">
        <v>94</v>
      </c>
      <c r="C111" s="3">
        <v>2.5337170000000002</v>
      </c>
      <c r="D111" s="8">
        <v>2.1058409999999999</v>
      </c>
      <c r="E111" s="8">
        <v>2.961592</v>
      </c>
      <c r="F111" s="2">
        <v>108</v>
      </c>
      <c r="G111" s="5">
        <v>54</v>
      </c>
      <c r="H111" s="5">
        <v>147</v>
      </c>
      <c r="I111" s="7">
        <f>(C111-1)*100/($C$4-1)</f>
        <v>49.245195780956522</v>
      </c>
      <c r="J111" s="6">
        <v>2</v>
      </c>
      <c r="K111" s="1">
        <v>140</v>
      </c>
      <c r="L111" s="6">
        <v>2.0714290000000002</v>
      </c>
      <c r="M111" s="1">
        <v>121</v>
      </c>
      <c r="N111" s="6">
        <v>2.8214290000000002</v>
      </c>
      <c r="O111" s="1">
        <v>81</v>
      </c>
      <c r="P111" s="6">
        <v>2.3214290000000002</v>
      </c>
      <c r="Q111" s="1">
        <v>112</v>
      </c>
      <c r="R111" s="6">
        <v>3.0714290000000002</v>
      </c>
      <c r="S111" s="1">
        <v>59</v>
      </c>
      <c r="T111" s="6">
        <v>2.8214290000000002</v>
      </c>
      <c r="U111" s="1">
        <v>134</v>
      </c>
    </row>
    <row r="112" spans="1:21" x14ac:dyDescent="0.2">
      <c r="A112" s="5" t="s">
        <v>93</v>
      </c>
      <c r="B112" s="5" t="s">
        <v>92</v>
      </c>
      <c r="C112" s="3">
        <v>2.5334729999999999</v>
      </c>
      <c r="D112" s="8">
        <v>2.2778740000000002</v>
      </c>
      <c r="E112" s="8">
        <v>2.7890709999999999</v>
      </c>
      <c r="F112" s="2">
        <v>109</v>
      </c>
      <c r="G112" s="5">
        <v>69</v>
      </c>
      <c r="H112" s="5">
        <v>138</v>
      </c>
      <c r="I112" s="7">
        <f>(C112-1)*100/($C$4-1)</f>
        <v>49.237361331856349</v>
      </c>
      <c r="J112" s="6">
        <v>2.15503</v>
      </c>
      <c r="K112" s="1">
        <v>114</v>
      </c>
      <c r="L112" s="6">
        <v>2.3655569999999999</v>
      </c>
      <c r="M112" s="1">
        <v>85</v>
      </c>
      <c r="N112" s="6">
        <v>2.4417110000000002</v>
      </c>
      <c r="O112" s="1">
        <v>122</v>
      </c>
      <c r="P112" s="6">
        <v>2.5714290000000002</v>
      </c>
      <c r="Q112" s="1">
        <v>80</v>
      </c>
      <c r="R112" s="6">
        <v>2.9523809999999999</v>
      </c>
      <c r="S112" s="1">
        <v>64</v>
      </c>
      <c r="T112" s="6">
        <v>2.729025</v>
      </c>
      <c r="U112" s="1">
        <v>140</v>
      </c>
    </row>
    <row r="113" spans="1:21" x14ac:dyDescent="0.2">
      <c r="A113" s="5" t="s">
        <v>91</v>
      </c>
      <c r="B113" s="5" t="s">
        <v>90</v>
      </c>
      <c r="C113" s="3">
        <v>2.5302549999999999</v>
      </c>
      <c r="D113" s="8">
        <v>2.3446129999999998</v>
      </c>
      <c r="E113" s="8">
        <v>2.715897</v>
      </c>
      <c r="F113" s="2">
        <v>110</v>
      </c>
      <c r="G113" s="5">
        <v>83</v>
      </c>
      <c r="H113" s="5">
        <v>131</v>
      </c>
      <c r="I113" s="7">
        <f>(C113-1)*100/($C$4-1)</f>
        <v>49.134036507248474</v>
      </c>
      <c r="J113" s="6">
        <v>2.0523989999999999</v>
      </c>
      <c r="K113" s="1">
        <v>134</v>
      </c>
      <c r="L113" s="6">
        <v>2.0836459999999999</v>
      </c>
      <c r="M113" s="1">
        <v>120</v>
      </c>
      <c r="N113" s="6">
        <v>2.909618</v>
      </c>
      <c r="O113" s="1">
        <v>66</v>
      </c>
      <c r="P113" s="6">
        <v>2.282632</v>
      </c>
      <c r="Q113" s="1">
        <v>120</v>
      </c>
      <c r="R113" s="6">
        <v>2.638487</v>
      </c>
      <c r="S113" s="1">
        <v>93</v>
      </c>
      <c r="T113" s="6">
        <v>3.075987</v>
      </c>
      <c r="U113" s="1">
        <v>110</v>
      </c>
    </row>
    <row r="114" spans="1:21" x14ac:dyDescent="0.2">
      <c r="A114" s="5" t="s">
        <v>89</v>
      </c>
      <c r="B114" s="5" t="s">
        <v>88</v>
      </c>
      <c r="C114" s="3">
        <v>2.524127</v>
      </c>
      <c r="D114" s="8">
        <v>2.3217729999999999</v>
      </c>
      <c r="E114" s="8">
        <v>2.7264819999999999</v>
      </c>
      <c r="F114" s="2">
        <v>111</v>
      </c>
      <c r="G114" s="5">
        <v>82</v>
      </c>
      <c r="H114" s="5">
        <v>133</v>
      </c>
      <c r="I114" s="7">
        <f>(C114-1)*100/($C$4-1)</f>
        <v>48.937276244601783</v>
      </c>
      <c r="J114" s="6">
        <v>2.1</v>
      </c>
      <c r="K114" s="1">
        <v>125</v>
      </c>
      <c r="L114" s="6">
        <v>2.3233329999999999</v>
      </c>
      <c r="M114" s="1">
        <v>92</v>
      </c>
      <c r="N114" s="6">
        <v>2.4344440000000001</v>
      </c>
      <c r="O114" s="1">
        <v>123</v>
      </c>
      <c r="P114" s="6">
        <v>2.5857410000000001</v>
      </c>
      <c r="Q114" s="1">
        <v>79</v>
      </c>
      <c r="R114" s="6">
        <v>2.2588859999999999</v>
      </c>
      <c r="S114" s="1">
        <v>139</v>
      </c>
      <c r="T114" s="6">
        <v>3.4017430000000002</v>
      </c>
      <c r="U114" s="1">
        <v>77</v>
      </c>
    </row>
    <row r="115" spans="1:21" x14ac:dyDescent="0.2">
      <c r="A115" s="5" t="s">
        <v>87</v>
      </c>
      <c r="B115" s="5" t="s">
        <v>86</v>
      </c>
      <c r="C115" s="3">
        <v>2.5107309999999998</v>
      </c>
      <c r="D115" s="8">
        <v>2.3651070000000001</v>
      </c>
      <c r="E115" s="8">
        <v>2.656355</v>
      </c>
      <c r="F115" s="2">
        <v>112</v>
      </c>
      <c r="G115" s="5">
        <v>89</v>
      </c>
      <c r="H115" s="5">
        <v>129</v>
      </c>
      <c r="I115" s="7">
        <f>(C115-1)*100/($C$4-1)</f>
        <v>48.507152145643694</v>
      </c>
      <c r="J115" s="6">
        <v>2.2627459999999999</v>
      </c>
      <c r="K115" s="1">
        <v>97</v>
      </c>
      <c r="L115" s="6">
        <v>2.244399</v>
      </c>
      <c r="M115" s="1">
        <v>100</v>
      </c>
      <c r="N115" s="6">
        <v>2.5332170000000001</v>
      </c>
      <c r="O115" s="1">
        <v>115</v>
      </c>
      <c r="P115" s="6">
        <v>2.3787280000000002</v>
      </c>
      <c r="Q115" s="1">
        <v>104</v>
      </c>
      <c r="R115" s="6">
        <v>2.3777789999999999</v>
      </c>
      <c r="S115" s="1">
        <v>127</v>
      </c>
      <c r="T115" s="6">
        <v>3.20418</v>
      </c>
      <c r="U115" s="1">
        <v>93</v>
      </c>
    </row>
    <row r="116" spans="1:21" x14ac:dyDescent="0.2">
      <c r="A116" s="5" t="s">
        <v>85</v>
      </c>
      <c r="B116" s="5" t="s">
        <v>84</v>
      </c>
      <c r="C116" s="3">
        <v>2.4933860000000001</v>
      </c>
      <c r="D116" s="8">
        <v>2.2426300000000001</v>
      </c>
      <c r="E116" s="8">
        <v>2.7441430000000002</v>
      </c>
      <c r="F116" s="2">
        <v>113</v>
      </c>
      <c r="G116" s="5">
        <v>79</v>
      </c>
      <c r="H116" s="5">
        <v>143</v>
      </c>
      <c r="I116" s="7">
        <f>(C116-1)*100/($C$4-1)</f>
        <v>47.950231983175208</v>
      </c>
      <c r="J116" s="6">
        <v>2.3846150000000002</v>
      </c>
      <c r="K116" s="1">
        <v>77</v>
      </c>
      <c r="L116" s="6">
        <v>2.1703299999999999</v>
      </c>
      <c r="M116" s="1">
        <v>110</v>
      </c>
      <c r="N116" s="6">
        <v>2.5384609999999999</v>
      </c>
      <c r="O116" s="1">
        <v>113</v>
      </c>
      <c r="P116" s="6">
        <v>2.3717950000000001</v>
      </c>
      <c r="Q116" s="1">
        <v>106</v>
      </c>
      <c r="R116" s="6">
        <v>2.269231</v>
      </c>
      <c r="S116" s="1">
        <v>137</v>
      </c>
      <c r="T116" s="6">
        <v>3.1452990000000001</v>
      </c>
      <c r="U116" s="1">
        <v>101</v>
      </c>
    </row>
    <row r="117" spans="1:21" x14ac:dyDescent="0.2">
      <c r="A117" s="5" t="s">
        <v>83</v>
      </c>
      <c r="B117" s="5" t="s">
        <v>82</v>
      </c>
      <c r="C117" s="3">
        <v>2.4912920000000001</v>
      </c>
      <c r="D117" s="8">
        <v>2.2642389999999999</v>
      </c>
      <c r="E117" s="8">
        <v>2.7183449999999998</v>
      </c>
      <c r="F117" s="2">
        <v>114</v>
      </c>
      <c r="G117" s="5">
        <v>83</v>
      </c>
      <c r="H117" s="5">
        <v>140</v>
      </c>
      <c r="I117" s="7">
        <f>(C117-1)*100/($C$4-1)</f>
        <v>47.882996997864794</v>
      </c>
      <c r="J117" s="6">
        <v>2.1355379999999999</v>
      </c>
      <c r="K117" s="1">
        <v>119</v>
      </c>
      <c r="L117" s="6">
        <v>2.2414239999999999</v>
      </c>
      <c r="M117" s="1">
        <v>101</v>
      </c>
      <c r="N117" s="6">
        <v>2.3125</v>
      </c>
      <c r="O117" s="1">
        <v>138</v>
      </c>
      <c r="P117" s="6">
        <v>2.3377340000000002</v>
      </c>
      <c r="Q117" s="1">
        <v>111</v>
      </c>
      <c r="R117" s="6">
        <v>2.3791669999999998</v>
      </c>
      <c r="S117" s="1">
        <v>126</v>
      </c>
      <c r="T117" s="6">
        <v>3.5125000000000002</v>
      </c>
      <c r="U117" s="1">
        <v>65</v>
      </c>
    </row>
    <row r="118" spans="1:21" x14ac:dyDescent="0.2">
      <c r="A118" s="5" t="s">
        <v>81</v>
      </c>
      <c r="B118" s="5" t="s">
        <v>80</v>
      </c>
      <c r="C118" s="3">
        <v>2.4909889999999999</v>
      </c>
      <c r="D118" s="8">
        <v>2.1786850000000002</v>
      </c>
      <c r="E118" s="8">
        <v>2.803293</v>
      </c>
      <c r="F118" s="2">
        <v>115</v>
      </c>
      <c r="G118" s="5">
        <v>67</v>
      </c>
      <c r="H118" s="5">
        <v>147</v>
      </c>
      <c r="I118" s="7">
        <f>(C118-1)*100/($C$4-1)</f>
        <v>47.873268153285494</v>
      </c>
      <c r="J118" s="6">
        <v>2.2705549999999999</v>
      </c>
      <c r="K118" s="1">
        <v>96</v>
      </c>
      <c r="L118" s="6">
        <v>2</v>
      </c>
      <c r="M118" s="1">
        <v>128</v>
      </c>
      <c r="N118" s="6">
        <v>2.75</v>
      </c>
      <c r="O118" s="1">
        <v>91</v>
      </c>
      <c r="P118" s="6">
        <v>2.0375000000000001</v>
      </c>
      <c r="Q118" s="1">
        <v>145</v>
      </c>
      <c r="R118" s="6">
        <v>2.6194440000000001</v>
      </c>
      <c r="S118" s="1">
        <v>96</v>
      </c>
      <c r="T118" s="6">
        <v>3.1402779999999999</v>
      </c>
      <c r="U118" s="1">
        <v>102</v>
      </c>
    </row>
    <row r="119" spans="1:21" x14ac:dyDescent="0.2">
      <c r="A119" s="5" t="s">
        <v>79</v>
      </c>
      <c r="B119" s="5" t="s">
        <v>78</v>
      </c>
      <c r="C119" s="3">
        <v>2.4758810000000002</v>
      </c>
      <c r="D119" s="8">
        <v>2.110627</v>
      </c>
      <c r="E119" s="8">
        <v>2.841135</v>
      </c>
      <c r="F119" s="2">
        <v>116</v>
      </c>
      <c r="G119" s="5">
        <v>60</v>
      </c>
      <c r="H119" s="5">
        <v>147</v>
      </c>
      <c r="I119" s="7">
        <f>(C119-1)*100/($C$4-1)</f>
        <v>47.388174477034482</v>
      </c>
      <c r="J119" s="6">
        <v>2.0185179999999998</v>
      </c>
      <c r="K119" s="1">
        <v>137</v>
      </c>
      <c r="L119" s="6">
        <v>1.618519</v>
      </c>
      <c r="M119" s="1">
        <v>151</v>
      </c>
      <c r="N119" s="6">
        <v>2.3333330000000001</v>
      </c>
      <c r="O119" s="1">
        <v>132</v>
      </c>
      <c r="P119" s="6">
        <v>2.4185189999999999</v>
      </c>
      <c r="Q119" s="1">
        <v>101</v>
      </c>
      <c r="R119" s="6">
        <v>2.3333330000000001</v>
      </c>
      <c r="S119" s="1">
        <v>131</v>
      </c>
      <c r="T119" s="6">
        <v>4</v>
      </c>
      <c r="U119" s="1">
        <v>27</v>
      </c>
    </row>
    <row r="120" spans="1:21" x14ac:dyDescent="0.2">
      <c r="A120" s="5" t="s">
        <v>77</v>
      </c>
      <c r="B120" s="5" t="s">
        <v>76</v>
      </c>
      <c r="C120" s="3">
        <v>2.472855</v>
      </c>
      <c r="D120" s="8">
        <v>2.151392</v>
      </c>
      <c r="E120" s="8">
        <v>2.7943190000000002</v>
      </c>
      <c r="F120" s="2">
        <v>117</v>
      </c>
      <c r="G120" s="5">
        <v>68</v>
      </c>
      <c r="H120" s="5">
        <v>147</v>
      </c>
      <c r="I120" s="7">
        <f>(C120-1)*100/($C$4-1)</f>
        <v>47.291014464833289</v>
      </c>
      <c r="J120" s="6">
        <v>2.3524729999999998</v>
      </c>
      <c r="K120" s="1">
        <v>86</v>
      </c>
      <c r="L120" s="6">
        <v>2.5219779999999998</v>
      </c>
      <c r="M120" s="1">
        <v>71</v>
      </c>
      <c r="N120" s="6">
        <v>2.383883</v>
      </c>
      <c r="O120" s="1">
        <v>129</v>
      </c>
      <c r="P120" s="6">
        <v>2.4223140000000001</v>
      </c>
      <c r="Q120" s="1">
        <v>99</v>
      </c>
      <c r="R120" s="6">
        <v>2.5056470000000002</v>
      </c>
      <c r="S120" s="1">
        <v>108</v>
      </c>
      <c r="T120" s="6">
        <v>2.6723140000000001</v>
      </c>
      <c r="U120" s="1">
        <v>142</v>
      </c>
    </row>
    <row r="121" spans="1:21" x14ac:dyDescent="0.2">
      <c r="A121" s="5" t="s">
        <v>75</v>
      </c>
      <c r="B121" s="5" t="s">
        <v>74</v>
      </c>
      <c r="C121" s="3">
        <v>2.4626100000000002</v>
      </c>
      <c r="D121" s="8">
        <v>2.2824439999999999</v>
      </c>
      <c r="E121" s="8">
        <v>2.6427770000000002</v>
      </c>
      <c r="F121" s="2">
        <v>118</v>
      </c>
      <c r="G121" s="5">
        <v>89</v>
      </c>
      <c r="H121" s="5">
        <v>138</v>
      </c>
      <c r="I121" s="7">
        <f>(C121-1)*100/($C$4-1)</f>
        <v>46.962063927820331</v>
      </c>
      <c r="J121" s="6">
        <v>2.1650559999999999</v>
      </c>
      <c r="K121" s="1">
        <v>113</v>
      </c>
      <c r="L121" s="6">
        <v>1.94862</v>
      </c>
      <c r="M121" s="1">
        <v>132</v>
      </c>
      <c r="N121" s="6">
        <v>2.7003349999999999</v>
      </c>
      <c r="O121" s="1">
        <v>97</v>
      </c>
      <c r="P121" s="6">
        <v>2.1391179999999999</v>
      </c>
      <c r="Q121" s="1">
        <v>137</v>
      </c>
      <c r="R121" s="6">
        <v>2.4546429999999999</v>
      </c>
      <c r="S121" s="1">
        <v>113</v>
      </c>
      <c r="T121" s="6">
        <v>3.2326079999999999</v>
      </c>
      <c r="U121" s="1">
        <v>89</v>
      </c>
    </row>
    <row r="122" spans="1:21" x14ac:dyDescent="0.2">
      <c r="A122" s="5" t="s">
        <v>73</v>
      </c>
      <c r="B122" s="5" t="s">
        <v>72</v>
      </c>
      <c r="C122" s="3">
        <v>2.459047</v>
      </c>
      <c r="D122" s="8">
        <v>2.2200479999999998</v>
      </c>
      <c r="E122" s="8">
        <v>2.6980460000000002</v>
      </c>
      <c r="F122" s="2">
        <v>119</v>
      </c>
      <c r="G122" s="5">
        <v>83</v>
      </c>
      <c r="H122" s="5">
        <v>145</v>
      </c>
      <c r="I122" s="7">
        <f>(C122-1)*100/($C$4-1)</f>
        <v>46.847661705919187</v>
      </c>
      <c r="J122" s="6">
        <v>2.0714290000000002</v>
      </c>
      <c r="K122" s="1">
        <v>129</v>
      </c>
      <c r="L122" s="6">
        <v>2.144558</v>
      </c>
      <c r="M122" s="1">
        <v>112</v>
      </c>
      <c r="N122" s="6">
        <v>2.644558</v>
      </c>
      <c r="O122" s="1">
        <v>104</v>
      </c>
      <c r="P122" s="6">
        <v>2.394558</v>
      </c>
      <c r="Q122" s="1">
        <v>103</v>
      </c>
      <c r="R122" s="6">
        <v>2.394558</v>
      </c>
      <c r="S122" s="1">
        <v>124</v>
      </c>
      <c r="T122" s="6">
        <v>3.0125850000000001</v>
      </c>
      <c r="U122" s="1">
        <v>120</v>
      </c>
    </row>
    <row r="123" spans="1:21" x14ac:dyDescent="0.2">
      <c r="A123" s="5" t="s">
        <v>71</v>
      </c>
      <c r="B123" s="5" t="s">
        <v>70</v>
      </c>
      <c r="C123" s="3">
        <v>2.4475850000000001</v>
      </c>
      <c r="D123" s="8">
        <v>2.1602209999999999</v>
      </c>
      <c r="E123" s="8">
        <v>2.73495</v>
      </c>
      <c r="F123" s="2">
        <v>120</v>
      </c>
      <c r="G123" s="5">
        <v>82</v>
      </c>
      <c r="H123" s="5">
        <v>147</v>
      </c>
      <c r="I123" s="7">
        <f>(C123-1)*100/($C$4-1)</f>
        <v>46.479635248599287</v>
      </c>
      <c r="J123" s="6">
        <v>1.96045</v>
      </c>
      <c r="K123" s="1">
        <v>142</v>
      </c>
      <c r="L123" s="6">
        <v>1.7627870000000001</v>
      </c>
      <c r="M123" s="1">
        <v>146</v>
      </c>
      <c r="N123" s="6">
        <v>2.5643739999999999</v>
      </c>
      <c r="O123" s="1">
        <v>108</v>
      </c>
      <c r="P123" s="6">
        <v>2.2627869999999999</v>
      </c>
      <c r="Q123" s="1">
        <v>124</v>
      </c>
      <c r="R123" s="6">
        <v>2.7936510000000001</v>
      </c>
      <c r="S123" s="1">
        <v>78</v>
      </c>
      <c r="T123" s="6">
        <v>3.2255289999999999</v>
      </c>
      <c r="U123" s="1">
        <v>90</v>
      </c>
    </row>
    <row r="124" spans="1:21" x14ac:dyDescent="0.2">
      <c r="A124" s="5" t="s">
        <v>69</v>
      </c>
      <c r="B124" s="5" t="s">
        <v>68</v>
      </c>
      <c r="C124" s="3">
        <v>2.430895</v>
      </c>
      <c r="D124" s="8">
        <v>2.2031520000000002</v>
      </c>
      <c r="E124" s="8">
        <v>2.6586370000000001</v>
      </c>
      <c r="F124" s="2">
        <v>121</v>
      </c>
      <c r="G124" s="5">
        <v>88</v>
      </c>
      <c r="H124" s="5">
        <v>147</v>
      </c>
      <c r="I124" s="7">
        <f>(C124-1)*100/($C$4-1)</f>
        <v>45.943746086789005</v>
      </c>
      <c r="J124" s="6">
        <v>2.1651319999999998</v>
      </c>
      <c r="K124" s="1">
        <v>112</v>
      </c>
      <c r="L124" s="6">
        <v>2.453916</v>
      </c>
      <c r="M124" s="1">
        <v>74</v>
      </c>
      <c r="N124" s="6">
        <v>2.5366490000000002</v>
      </c>
      <c r="O124" s="1">
        <v>114</v>
      </c>
      <c r="P124" s="6">
        <v>2.3194110000000001</v>
      </c>
      <c r="Q124" s="1">
        <v>113</v>
      </c>
      <c r="R124" s="6">
        <v>2.4444110000000001</v>
      </c>
      <c r="S124" s="1">
        <v>117</v>
      </c>
      <c r="T124" s="6">
        <v>2.6467160000000001</v>
      </c>
      <c r="U124" s="1">
        <v>145</v>
      </c>
    </row>
    <row r="125" spans="1:21" x14ac:dyDescent="0.2">
      <c r="A125" s="5" t="s">
        <v>67</v>
      </c>
      <c r="B125" s="5" t="s">
        <v>66</v>
      </c>
      <c r="C125" s="3">
        <v>2.4137719999999998</v>
      </c>
      <c r="D125" s="8">
        <v>2.1490689999999999</v>
      </c>
      <c r="E125" s="8">
        <v>2.6784750000000002</v>
      </c>
      <c r="F125" s="2">
        <v>122</v>
      </c>
      <c r="G125" s="5">
        <v>84</v>
      </c>
      <c r="H125" s="5">
        <v>147</v>
      </c>
      <c r="I125" s="7">
        <f>(C125-1)*100/($C$4-1)</f>
        <v>45.393953988665736</v>
      </c>
      <c r="J125" s="6">
        <v>2.2347980000000001</v>
      </c>
      <c r="K125" s="1">
        <v>102</v>
      </c>
      <c r="L125" s="6">
        <v>2.0912090000000001</v>
      </c>
      <c r="M125" s="1">
        <v>117</v>
      </c>
      <c r="N125" s="6">
        <v>2.2922099999999999</v>
      </c>
      <c r="O125" s="1">
        <v>139</v>
      </c>
      <c r="P125" s="6">
        <v>2.3065929999999999</v>
      </c>
      <c r="Q125" s="1">
        <v>115</v>
      </c>
      <c r="R125" s="6">
        <v>2.6666669999999999</v>
      </c>
      <c r="S125" s="1">
        <v>90</v>
      </c>
      <c r="T125" s="6">
        <v>2.8714279999999999</v>
      </c>
      <c r="U125" s="1">
        <v>130</v>
      </c>
    </row>
    <row r="126" spans="1:21" x14ac:dyDescent="0.2">
      <c r="A126" s="5" t="s">
        <v>65</v>
      </c>
      <c r="B126" s="5" t="s">
        <v>64</v>
      </c>
      <c r="C126" s="3">
        <v>2.4127610000000002</v>
      </c>
      <c r="D126" s="8">
        <v>2.0983360000000002</v>
      </c>
      <c r="E126" s="8">
        <v>2.727185</v>
      </c>
      <c r="F126" s="2">
        <v>123</v>
      </c>
      <c r="G126" s="5">
        <v>82</v>
      </c>
      <c r="H126" s="5">
        <v>149</v>
      </c>
      <c r="I126" s="7">
        <f>(C126-1)*100/($C$4-1)</f>
        <v>45.361492398336793</v>
      </c>
      <c r="J126" s="6">
        <v>2.1340910000000002</v>
      </c>
      <c r="K126" s="1">
        <v>120</v>
      </c>
      <c r="L126" s="6">
        <v>1.767857</v>
      </c>
      <c r="M126" s="1">
        <v>145</v>
      </c>
      <c r="N126" s="6">
        <v>2.7560820000000001</v>
      </c>
      <c r="O126" s="1">
        <v>89</v>
      </c>
      <c r="P126" s="6">
        <v>2.1409090000000002</v>
      </c>
      <c r="Q126" s="1">
        <v>136</v>
      </c>
      <c r="R126" s="6">
        <v>2.8909090000000002</v>
      </c>
      <c r="S126" s="1">
        <v>67</v>
      </c>
      <c r="T126" s="6">
        <v>2.6503459999999999</v>
      </c>
      <c r="U126" s="1">
        <v>144</v>
      </c>
    </row>
    <row r="127" spans="1:21" x14ac:dyDescent="0.2">
      <c r="A127" s="5" t="s">
        <v>63</v>
      </c>
      <c r="B127" s="5" t="s">
        <v>62</v>
      </c>
      <c r="C127" s="3">
        <v>2.4106160000000001</v>
      </c>
      <c r="D127" s="8">
        <v>2.2058879999999998</v>
      </c>
      <c r="E127" s="8">
        <v>2.6153439999999999</v>
      </c>
      <c r="F127" s="2">
        <v>124</v>
      </c>
      <c r="G127" s="5">
        <v>92</v>
      </c>
      <c r="H127" s="5">
        <v>146</v>
      </c>
      <c r="I127" s="7">
        <f>(C127-1)*100/($C$4-1)</f>
        <v>45.292619884730854</v>
      </c>
      <c r="J127" s="6">
        <v>2.0165519999999999</v>
      </c>
      <c r="K127" s="1">
        <v>138</v>
      </c>
      <c r="L127" s="6">
        <v>1.9147730000000001</v>
      </c>
      <c r="M127" s="1">
        <v>135</v>
      </c>
      <c r="N127" s="6">
        <v>2.549242</v>
      </c>
      <c r="O127" s="1">
        <v>111</v>
      </c>
      <c r="P127" s="6">
        <v>2.1954319999999998</v>
      </c>
      <c r="Q127" s="1">
        <v>131</v>
      </c>
      <c r="R127" s="6">
        <v>2.4346139999999998</v>
      </c>
      <c r="S127" s="1">
        <v>118</v>
      </c>
      <c r="T127" s="6">
        <v>3.2410489999999998</v>
      </c>
      <c r="U127" s="1">
        <v>87</v>
      </c>
    </row>
    <row r="128" spans="1:21" x14ac:dyDescent="0.2">
      <c r="A128" s="5" t="s">
        <v>61</v>
      </c>
      <c r="B128" s="5" t="s">
        <v>60</v>
      </c>
      <c r="C128" s="3">
        <v>2.4038979999999999</v>
      </c>
      <c r="D128" s="8">
        <v>2.1858960000000001</v>
      </c>
      <c r="E128" s="8">
        <v>2.6219009999999998</v>
      </c>
      <c r="F128" s="2">
        <v>125</v>
      </c>
      <c r="G128" s="5">
        <v>91</v>
      </c>
      <c r="H128" s="5">
        <v>147</v>
      </c>
      <c r="I128" s="7">
        <f>(C128-1)*100/($C$4-1)</f>
        <v>45.076915667292781</v>
      </c>
      <c r="J128" s="6">
        <v>2.253641</v>
      </c>
      <c r="K128" s="1">
        <v>98</v>
      </c>
      <c r="L128" s="6">
        <v>2.1582349999999999</v>
      </c>
      <c r="M128" s="1">
        <v>111</v>
      </c>
      <c r="N128" s="6">
        <v>2.4239489999999999</v>
      </c>
      <c r="O128" s="1">
        <v>125</v>
      </c>
      <c r="P128" s="6">
        <v>2.2944100000000001</v>
      </c>
      <c r="Q128" s="1">
        <v>117</v>
      </c>
      <c r="R128" s="6">
        <v>2.4194100000000001</v>
      </c>
      <c r="S128" s="1">
        <v>121</v>
      </c>
      <c r="T128" s="6">
        <v>2.826797</v>
      </c>
      <c r="U128" s="1">
        <v>133</v>
      </c>
    </row>
    <row r="129" spans="1:21" x14ac:dyDescent="0.2">
      <c r="A129" s="5" t="s">
        <v>59</v>
      </c>
      <c r="B129" s="5" t="s">
        <v>58</v>
      </c>
      <c r="C129" s="3">
        <v>2.3945660000000002</v>
      </c>
      <c r="D129" s="8">
        <v>2.168199</v>
      </c>
      <c r="E129" s="8">
        <v>2.620933</v>
      </c>
      <c r="F129" s="2">
        <v>126</v>
      </c>
      <c r="G129" s="5">
        <v>91</v>
      </c>
      <c r="H129" s="5">
        <v>147</v>
      </c>
      <c r="I129" s="7">
        <f>(C129-1)*100/($C$4-1)</f>
        <v>44.777280097609534</v>
      </c>
      <c r="J129" s="6">
        <v>2.25</v>
      </c>
      <c r="K129" s="1">
        <v>100</v>
      </c>
      <c r="L129" s="6">
        <v>2.3333330000000001</v>
      </c>
      <c r="M129" s="1">
        <v>91</v>
      </c>
      <c r="N129" s="6">
        <v>2.5</v>
      </c>
      <c r="O129" s="1">
        <v>116</v>
      </c>
      <c r="P129" s="6">
        <v>2.1666669999999999</v>
      </c>
      <c r="Q129" s="1">
        <v>133</v>
      </c>
      <c r="R129" s="6">
        <v>2.4166669999999999</v>
      </c>
      <c r="S129" s="1">
        <v>123</v>
      </c>
      <c r="T129" s="6">
        <v>2.6666669999999999</v>
      </c>
      <c r="U129" s="1">
        <v>143</v>
      </c>
    </row>
    <row r="130" spans="1:21" x14ac:dyDescent="0.2">
      <c r="A130" s="5" t="s">
        <v>57</v>
      </c>
      <c r="B130" s="5" t="s">
        <v>56</v>
      </c>
      <c r="C130" s="3">
        <v>2.38198</v>
      </c>
      <c r="D130" s="8">
        <v>2.1263649999999998</v>
      </c>
      <c r="E130" s="8">
        <v>2.6375950000000001</v>
      </c>
      <c r="F130" s="2">
        <v>127</v>
      </c>
      <c r="G130" s="5">
        <v>90</v>
      </c>
      <c r="H130" s="5">
        <v>147</v>
      </c>
      <c r="I130" s="7">
        <f>(C130-1)*100/($C$4-1)</f>
        <v>44.373163800992153</v>
      </c>
      <c r="J130" s="6">
        <v>2.2818179999999999</v>
      </c>
      <c r="K130" s="1">
        <v>94</v>
      </c>
      <c r="L130" s="6">
        <v>2</v>
      </c>
      <c r="M130" s="1">
        <v>126</v>
      </c>
      <c r="N130" s="6">
        <v>2.328687</v>
      </c>
      <c r="O130" s="1">
        <v>133</v>
      </c>
      <c r="P130" s="6">
        <v>2.1565660000000002</v>
      </c>
      <c r="Q130" s="1">
        <v>134</v>
      </c>
      <c r="R130" s="6">
        <v>2.381818</v>
      </c>
      <c r="S130" s="1">
        <v>125</v>
      </c>
      <c r="T130" s="6">
        <v>3.0818180000000002</v>
      </c>
      <c r="U130" s="1">
        <v>109</v>
      </c>
    </row>
    <row r="131" spans="1:21" x14ac:dyDescent="0.2">
      <c r="A131" s="5" t="s">
        <v>55</v>
      </c>
      <c r="B131" s="5" t="s">
        <v>54</v>
      </c>
      <c r="C131" s="3">
        <v>2.380236</v>
      </c>
      <c r="D131" s="8">
        <v>2.0912329999999999</v>
      </c>
      <c r="E131" s="8">
        <v>2.6692390000000001</v>
      </c>
      <c r="F131" s="2">
        <v>128</v>
      </c>
      <c r="G131" s="5">
        <v>87</v>
      </c>
      <c r="H131" s="5">
        <v>149</v>
      </c>
      <c r="I131" s="7">
        <f>(C131-1)*100/($C$4-1)</f>
        <v>44.317166754964759</v>
      </c>
      <c r="J131" s="6">
        <v>2.1369050000000001</v>
      </c>
      <c r="K131" s="1">
        <v>118</v>
      </c>
      <c r="L131" s="6">
        <v>1.8302670000000001</v>
      </c>
      <c r="M131" s="1">
        <v>141</v>
      </c>
      <c r="N131" s="6">
        <v>2.444715</v>
      </c>
      <c r="O131" s="1">
        <v>120</v>
      </c>
      <c r="P131" s="6">
        <v>2.2447149999999998</v>
      </c>
      <c r="Q131" s="1">
        <v>127</v>
      </c>
      <c r="R131" s="6">
        <v>2.5419369999999999</v>
      </c>
      <c r="S131" s="1">
        <v>105</v>
      </c>
      <c r="T131" s="6">
        <v>2.9883660000000001</v>
      </c>
      <c r="U131" s="1">
        <v>122</v>
      </c>
    </row>
    <row r="132" spans="1:21" x14ac:dyDescent="0.2">
      <c r="A132" s="5" t="s">
        <v>53</v>
      </c>
      <c r="B132" s="5" t="s">
        <v>52</v>
      </c>
      <c r="C132" s="3">
        <v>2.3699759999999999</v>
      </c>
      <c r="D132" s="8">
        <v>2.1502949999999998</v>
      </c>
      <c r="E132" s="8">
        <v>2.5896560000000002</v>
      </c>
      <c r="F132" s="2">
        <v>129</v>
      </c>
      <c r="G132" s="5">
        <v>100</v>
      </c>
      <c r="H132" s="5">
        <v>147</v>
      </c>
      <c r="I132" s="7">
        <f>(C132-1)*100/($C$4-1)</f>
        <v>43.98773459198253</v>
      </c>
      <c r="J132" s="6">
        <v>2.2797499999999999</v>
      </c>
      <c r="K132" s="1">
        <v>95</v>
      </c>
      <c r="L132" s="6">
        <v>2.122668</v>
      </c>
      <c r="M132" s="1">
        <v>114</v>
      </c>
      <c r="N132" s="6">
        <v>2.1872739999999999</v>
      </c>
      <c r="O132" s="1">
        <v>146</v>
      </c>
      <c r="P132" s="6">
        <v>2.2886039999999999</v>
      </c>
      <c r="Q132" s="1">
        <v>118</v>
      </c>
      <c r="R132" s="6">
        <v>2.4998610000000001</v>
      </c>
      <c r="S132" s="1">
        <v>111</v>
      </c>
      <c r="T132" s="6">
        <v>2.8369529999999998</v>
      </c>
      <c r="U132" s="1">
        <v>132</v>
      </c>
    </row>
    <row r="133" spans="1:21" x14ac:dyDescent="0.2">
      <c r="A133" s="5" t="s">
        <v>51</v>
      </c>
      <c r="B133" s="5" t="s">
        <v>50</v>
      </c>
      <c r="C133" s="3">
        <v>2.3603730000000001</v>
      </c>
      <c r="D133" s="8">
        <v>2.2345380000000001</v>
      </c>
      <c r="E133" s="8">
        <v>2.486208</v>
      </c>
      <c r="F133" s="2">
        <v>130</v>
      </c>
      <c r="G133" s="5">
        <v>116</v>
      </c>
      <c r="H133" s="5">
        <v>144</v>
      </c>
      <c r="I133" s="7">
        <f>(C133-1)*100/($C$4-1)</f>
        <v>43.67939764645444</v>
      </c>
      <c r="J133" s="6">
        <v>1.96875</v>
      </c>
      <c r="K133" s="1">
        <v>141</v>
      </c>
      <c r="L133" s="6">
        <v>2.0596589999999999</v>
      </c>
      <c r="M133" s="1">
        <v>122</v>
      </c>
      <c r="N133" s="6">
        <v>2.6960229999999998</v>
      </c>
      <c r="O133" s="1">
        <v>98</v>
      </c>
      <c r="P133" s="6">
        <v>2.2414770000000002</v>
      </c>
      <c r="Q133" s="1">
        <v>129</v>
      </c>
      <c r="R133" s="6">
        <v>2.2638639999999999</v>
      </c>
      <c r="S133" s="1">
        <v>138</v>
      </c>
      <c r="T133" s="6">
        <v>2.814489</v>
      </c>
      <c r="U133" s="1">
        <v>136</v>
      </c>
    </row>
    <row r="134" spans="1:21" x14ac:dyDescent="0.2">
      <c r="A134" s="5" t="s">
        <v>49</v>
      </c>
      <c r="B134" s="5" t="s">
        <v>48</v>
      </c>
      <c r="C134" s="3">
        <v>2.3466260000000001</v>
      </c>
      <c r="D134" s="8">
        <v>2.1707839999999998</v>
      </c>
      <c r="E134" s="8">
        <v>2.5224679999999999</v>
      </c>
      <c r="F134" s="2">
        <v>131</v>
      </c>
      <c r="G134" s="5">
        <v>112</v>
      </c>
      <c r="H134" s="5">
        <v>147</v>
      </c>
      <c r="I134" s="7">
        <f>(C134-1)*100/($C$4-1)</f>
        <v>43.238003499815377</v>
      </c>
      <c r="J134" s="6">
        <v>1.9035569999999999</v>
      </c>
      <c r="K134" s="1">
        <v>147</v>
      </c>
      <c r="L134" s="6">
        <v>2</v>
      </c>
      <c r="M134" s="1">
        <v>127</v>
      </c>
      <c r="N134" s="6">
        <v>2.4209489999999998</v>
      </c>
      <c r="O134" s="1">
        <v>127</v>
      </c>
      <c r="P134" s="6">
        <v>2.2544140000000001</v>
      </c>
      <c r="Q134" s="1">
        <v>125</v>
      </c>
      <c r="R134" s="6">
        <v>2.2544140000000001</v>
      </c>
      <c r="S134" s="1">
        <v>141</v>
      </c>
      <c r="T134" s="6">
        <v>3.1635049999999998</v>
      </c>
      <c r="U134" s="1">
        <v>98</v>
      </c>
    </row>
    <row r="135" spans="1:21" x14ac:dyDescent="0.2">
      <c r="A135" s="5" t="s">
        <v>47</v>
      </c>
      <c r="B135" s="5" t="s">
        <v>46</v>
      </c>
      <c r="C135" s="3">
        <v>2.3324189999999998</v>
      </c>
      <c r="D135" s="8">
        <v>2.0050849999999998</v>
      </c>
      <c r="E135" s="8">
        <v>2.659754</v>
      </c>
      <c r="F135" s="2">
        <v>132</v>
      </c>
      <c r="G135" s="5">
        <v>88</v>
      </c>
      <c r="H135" s="5">
        <v>152</v>
      </c>
      <c r="I135" s="7">
        <f>(C135-1)*100/($C$4-1)</f>
        <v>42.781839490118642</v>
      </c>
      <c r="J135" s="6">
        <v>2.1472730000000002</v>
      </c>
      <c r="K135" s="1">
        <v>116</v>
      </c>
      <c r="L135" s="6">
        <v>2.1818179999999998</v>
      </c>
      <c r="M135" s="1">
        <v>107</v>
      </c>
      <c r="N135" s="6">
        <v>2.2818179999999999</v>
      </c>
      <c r="O135" s="1">
        <v>140</v>
      </c>
      <c r="P135" s="6">
        <v>2.2818179999999999</v>
      </c>
      <c r="Q135" s="1">
        <v>121</v>
      </c>
      <c r="R135" s="6">
        <v>2.0818180000000002</v>
      </c>
      <c r="S135" s="1">
        <v>143</v>
      </c>
      <c r="T135" s="6">
        <v>2.9818180000000001</v>
      </c>
      <c r="U135" s="1">
        <v>124</v>
      </c>
    </row>
    <row r="136" spans="1:21" x14ac:dyDescent="0.2">
      <c r="A136" s="5" t="s">
        <v>45</v>
      </c>
      <c r="B136" s="5" t="s">
        <v>44</v>
      </c>
      <c r="C136" s="3">
        <v>2.3286030000000002</v>
      </c>
      <c r="D136" s="8">
        <v>2.0945320000000001</v>
      </c>
      <c r="E136" s="8">
        <v>2.5626739999999999</v>
      </c>
      <c r="F136" s="2">
        <v>133</v>
      </c>
      <c r="G136" s="5">
        <v>105</v>
      </c>
      <c r="H136" s="5">
        <v>149</v>
      </c>
      <c r="I136" s="7">
        <f>(C136-1)*100/($C$4-1)</f>
        <v>42.659313843535791</v>
      </c>
      <c r="J136" s="6">
        <v>1.9375</v>
      </c>
      <c r="K136" s="1">
        <v>146</v>
      </c>
      <c r="L136" s="6">
        <v>1.921875</v>
      </c>
      <c r="M136" s="1">
        <v>134</v>
      </c>
      <c r="N136" s="6">
        <v>2.3701919999999999</v>
      </c>
      <c r="O136" s="1">
        <v>131</v>
      </c>
      <c r="P136" s="6">
        <v>2.014265</v>
      </c>
      <c r="Q136" s="1">
        <v>148</v>
      </c>
      <c r="R136" s="6">
        <v>2.3551739999999999</v>
      </c>
      <c r="S136" s="1">
        <v>129</v>
      </c>
      <c r="T136" s="6">
        <v>3.2876840000000001</v>
      </c>
      <c r="U136" s="1">
        <v>82</v>
      </c>
    </row>
    <row r="137" spans="1:21" x14ac:dyDescent="0.2">
      <c r="A137" s="5" t="s">
        <v>43</v>
      </c>
      <c r="B137" s="5" t="s">
        <v>42</v>
      </c>
      <c r="C137" s="3">
        <v>2.3184339999999999</v>
      </c>
      <c r="D137" s="8">
        <v>1.9604820000000001</v>
      </c>
      <c r="E137" s="8">
        <v>2.6763870000000001</v>
      </c>
      <c r="F137" s="2">
        <v>134</v>
      </c>
      <c r="G137" s="5">
        <v>85</v>
      </c>
      <c r="H137" s="5">
        <v>153</v>
      </c>
      <c r="I137" s="7">
        <f>(C137-1)*100/($C$4-1)</f>
        <v>42.332803544767131</v>
      </c>
      <c r="J137" s="6">
        <v>2.0909089999999999</v>
      </c>
      <c r="K137" s="1">
        <v>126</v>
      </c>
      <c r="L137" s="6">
        <v>2.0909089999999999</v>
      </c>
      <c r="M137" s="1">
        <v>119</v>
      </c>
      <c r="N137" s="6">
        <v>1.9090910000000001</v>
      </c>
      <c r="O137" s="1">
        <v>152</v>
      </c>
      <c r="P137" s="6">
        <v>2.288154</v>
      </c>
      <c r="Q137" s="1">
        <v>119</v>
      </c>
      <c r="R137" s="6">
        <v>2.5881539999999998</v>
      </c>
      <c r="S137" s="1">
        <v>99</v>
      </c>
      <c r="T137" s="6">
        <v>2.9881540000000002</v>
      </c>
      <c r="U137" s="1">
        <v>123</v>
      </c>
    </row>
    <row r="138" spans="1:21" x14ac:dyDescent="0.2">
      <c r="A138" s="5" t="s">
        <v>41</v>
      </c>
      <c r="B138" s="5" t="s">
        <v>40</v>
      </c>
      <c r="C138" s="3">
        <v>2.30959</v>
      </c>
      <c r="D138" s="8">
        <v>2.1635520000000001</v>
      </c>
      <c r="E138" s="8">
        <v>2.4556290000000001</v>
      </c>
      <c r="F138" s="2">
        <v>135</v>
      </c>
      <c r="G138" s="5">
        <v>120</v>
      </c>
      <c r="H138" s="5">
        <v>147</v>
      </c>
      <c r="I138" s="7">
        <f>(C138-1)*100/($C$4-1)</f>
        <v>42.048836873284209</v>
      </c>
      <c r="J138" s="6">
        <v>2.0826419999999999</v>
      </c>
      <c r="K138" s="1">
        <v>127</v>
      </c>
      <c r="L138" s="6">
        <v>2.2300970000000002</v>
      </c>
      <c r="M138" s="1">
        <v>103</v>
      </c>
      <c r="N138" s="6">
        <v>2.1843349999999999</v>
      </c>
      <c r="O138" s="1">
        <v>147</v>
      </c>
      <c r="P138" s="6">
        <v>2.267579</v>
      </c>
      <c r="Q138" s="1">
        <v>123</v>
      </c>
      <c r="R138" s="6">
        <v>2.0255049999999999</v>
      </c>
      <c r="S138" s="1">
        <v>147</v>
      </c>
      <c r="T138" s="6">
        <v>3.0499809999999998</v>
      </c>
      <c r="U138" s="1">
        <v>115</v>
      </c>
    </row>
    <row r="139" spans="1:21" x14ac:dyDescent="0.2">
      <c r="A139" s="5" t="s">
        <v>39</v>
      </c>
      <c r="B139" s="5" t="s">
        <v>38</v>
      </c>
      <c r="C139" s="3">
        <v>2.292945</v>
      </c>
      <c r="D139" s="8">
        <v>1.9906239999999999</v>
      </c>
      <c r="E139" s="8">
        <v>2.5952660000000001</v>
      </c>
      <c r="F139" s="2">
        <v>136</v>
      </c>
      <c r="G139" s="5">
        <v>98</v>
      </c>
      <c r="H139" s="5">
        <v>152</v>
      </c>
      <c r="I139" s="7">
        <f>(C139-1)*100/($C$4-1)</f>
        <v>41.514392589381757</v>
      </c>
      <c r="J139" s="6">
        <v>1.9456469999999999</v>
      </c>
      <c r="K139" s="1">
        <v>145</v>
      </c>
      <c r="L139" s="6">
        <v>2.036556</v>
      </c>
      <c r="M139" s="1">
        <v>124</v>
      </c>
      <c r="N139" s="6">
        <v>2.769231</v>
      </c>
      <c r="O139" s="1">
        <v>87</v>
      </c>
      <c r="P139" s="6">
        <v>2.2005560000000002</v>
      </c>
      <c r="Q139" s="1">
        <v>130</v>
      </c>
      <c r="R139" s="6">
        <v>2.2838889999999998</v>
      </c>
      <c r="S139" s="1">
        <v>135</v>
      </c>
      <c r="T139" s="6">
        <v>2.396064</v>
      </c>
      <c r="U139" s="1">
        <v>150</v>
      </c>
    </row>
    <row r="140" spans="1:21" x14ac:dyDescent="0.2">
      <c r="A140" s="5" t="s">
        <v>37</v>
      </c>
      <c r="B140" s="5" t="s">
        <v>36</v>
      </c>
      <c r="C140" s="3">
        <v>2.2884139999999999</v>
      </c>
      <c r="D140" s="8">
        <v>2.020362</v>
      </c>
      <c r="E140" s="8">
        <v>2.5564650000000002</v>
      </c>
      <c r="F140" s="2">
        <v>137</v>
      </c>
      <c r="G140" s="5">
        <v>105</v>
      </c>
      <c r="H140" s="5">
        <v>152</v>
      </c>
      <c r="I140" s="7">
        <f>(C140-1)*100/($C$4-1)</f>
        <v>41.368909438263579</v>
      </c>
      <c r="J140" s="6">
        <v>1.959273</v>
      </c>
      <c r="K140" s="1">
        <v>143</v>
      </c>
      <c r="L140" s="6">
        <v>1.8769940000000001</v>
      </c>
      <c r="M140" s="1">
        <v>138</v>
      </c>
      <c r="N140" s="6">
        <v>2.482764</v>
      </c>
      <c r="O140" s="1">
        <v>117</v>
      </c>
      <c r="P140" s="6">
        <v>2.089744</v>
      </c>
      <c r="Q140" s="1">
        <v>142</v>
      </c>
      <c r="R140" s="6">
        <v>2.2309969999999999</v>
      </c>
      <c r="S140" s="1">
        <v>142</v>
      </c>
      <c r="T140" s="6">
        <v>2.9787750000000002</v>
      </c>
      <c r="U140" s="1">
        <v>125</v>
      </c>
    </row>
    <row r="141" spans="1:21" x14ac:dyDescent="0.2">
      <c r="A141" s="5" t="s">
        <v>35</v>
      </c>
      <c r="B141" s="5" t="s">
        <v>34</v>
      </c>
      <c r="C141" s="3">
        <v>2.2843100000000001</v>
      </c>
      <c r="D141" s="8">
        <v>1.7626980000000001</v>
      </c>
      <c r="E141" s="8">
        <v>2.8059229999999999</v>
      </c>
      <c r="F141" s="2">
        <v>138</v>
      </c>
      <c r="G141" s="5">
        <v>67</v>
      </c>
      <c r="H141" s="5">
        <v>153</v>
      </c>
      <c r="I141" s="7">
        <f>(C141-1)*100/($C$4-1)</f>
        <v>41.237136573070693</v>
      </c>
      <c r="J141" s="6">
        <v>2.1666669999999999</v>
      </c>
      <c r="K141" s="1">
        <v>111</v>
      </c>
      <c r="L141" s="6">
        <v>1.8333330000000001</v>
      </c>
      <c r="M141" s="1">
        <v>140</v>
      </c>
      <c r="N141" s="6">
        <v>2.4055550000000001</v>
      </c>
      <c r="O141" s="1">
        <v>128</v>
      </c>
      <c r="P141" s="6">
        <v>2.0055559999999999</v>
      </c>
      <c r="Q141" s="1">
        <v>149</v>
      </c>
      <c r="R141" s="6">
        <v>2.348611</v>
      </c>
      <c r="S141" s="1">
        <v>130</v>
      </c>
      <c r="T141" s="6">
        <v>2.848611</v>
      </c>
      <c r="U141" s="1">
        <v>131</v>
      </c>
    </row>
    <row r="142" spans="1:21" x14ac:dyDescent="0.2">
      <c r="A142" s="5" t="s">
        <v>33</v>
      </c>
      <c r="B142" s="5" t="s">
        <v>32</v>
      </c>
      <c r="C142" s="3">
        <v>2.2681019999999998</v>
      </c>
      <c r="D142" s="8">
        <v>1.9190700000000001</v>
      </c>
      <c r="E142" s="8">
        <v>2.6171350000000002</v>
      </c>
      <c r="F142" s="2">
        <v>139</v>
      </c>
      <c r="G142" s="5">
        <v>92</v>
      </c>
      <c r="H142" s="5">
        <v>153</v>
      </c>
      <c r="I142" s="7">
        <f>(C142-1)*100/($C$4-1)</f>
        <v>40.716723659073025</v>
      </c>
      <c r="J142" s="6">
        <v>2.0769229999999999</v>
      </c>
      <c r="K142" s="1">
        <v>128</v>
      </c>
      <c r="L142" s="6">
        <v>2.0004930000000001</v>
      </c>
      <c r="M142" s="1">
        <v>125</v>
      </c>
      <c r="N142" s="6">
        <v>2.16716</v>
      </c>
      <c r="O142" s="1">
        <v>149</v>
      </c>
      <c r="P142" s="6">
        <v>2.1257549999999998</v>
      </c>
      <c r="Q142" s="1">
        <v>138</v>
      </c>
      <c r="R142" s="6">
        <v>2.3075730000000001</v>
      </c>
      <c r="S142" s="1">
        <v>134</v>
      </c>
      <c r="T142" s="6">
        <v>2.8998629999999999</v>
      </c>
      <c r="U142" s="1">
        <v>129</v>
      </c>
    </row>
    <row r="143" spans="1:21" x14ac:dyDescent="0.2">
      <c r="A143" s="5" t="s">
        <v>31</v>
      </c>
      <c r="B143" s="5" t="s">
        <v>30</v>
      </c>
      <c r="C143" s="3">
        <v>2.2680509999999998</v>
      </c>
      <c r="D143" s="8">
        <v>2.1001289999999999</v>
      </c>
      <c r="E143" s="8">
        <v>2.435972</v>
      </c>
      <c r="F143" s="2">
        <v>140</v>
      </c>
      <c r="G143" s="5">
        <v>121</v>
      </c>
      <c r="H143" s="5">
        <v>149</v>
      </c>
      <c r="I143" s="7">
        <f>(C143-1)*100/($C$4-1)</f>
        <v>40.7150861307775</v>
      </c>
      <c r="J143" s="6">
        <v>2.0245109999999999</v>
      </c>
      <c r="K143" s="1">
        <v>136</v>
      </c>
      <c r="L143" s="6">
        <v>1.9934890000000001</v>
      </c>
      <c r="M143" s="1">
        <v>130</v>
      </c>
      <c r="N143" s="6">
        <v>2.3130289999999998</v>
      </c>
      <c r="O143" s="1">
        <v>136</v>
      </c>
      <c r="P143" s="6">
        <v>2.2498429999999998</v>
      </c>
      <c r="Q143" s="1">
        <v>126</v>
      </c>
      <c r="R143" s="6">
        <v>2.276062</v>
      </c>
      <c r="S143" s="1">
        <v>136</v>
      </c>
      <c r="T143" s="6">
        <v>2.696841</v>
      </c>
      <c r="U143" s="1">
        <v>141</v>
      </c>
    </row>
    <row r="144" spans="1:21" x14ac:dyDescent="0.2">
      <c r="A144" s="5" t="s">
        <v>29</v>
      </c>
      <c r="B144" s="5" t="s">
        <v>28</v>
      </c>
      <c r="C144" s="3">
        <v>2.2504759999999999</v>
      </c>
      <c r="D144" s="8">
        <v>2.0535939999999999</v>
      </c>
      <c r="E144" s="8">
        <v>2.4473579999999999</v>
      </c>
      <c r="F144" s="2">
        <v>141</v>
      </c>
      <c r="G144" s="5">
        <v>121</v>
      </c>
      <c r="H144" s="5">
        <v>150</v>
      </c>
      <c r="I144" s="7">
        <f>(C144-1)*100/($C$4-1)</f>
        <v>40.150781036780167</v>
      </c>
      <c r="J144" s="6">
        <v>1.8125</v>
      </c>
      <c r="K144" s="1">
        <v>149</v>
      </c>
      <c r="L144" s="6">
        <v>1.9367490000000001</v>
      </c>
      <c r="M144" s="1">
        <v>133</v>
      </c>
      <c r="N144" s="6">
        <v>2.4609380000000001</v>
      </c>
      <c r="O144" s="1">
        <v>119</v>
      </c>
      <c r="P144" s="6">
        <v>2.2444410000000001</v>
      </c>
      <c r="Q144" s="1">
        <v>128</v>
      </c>
      <c r="R144" s="6">
        <v>2.4180969999999999</v>
      </c>
      <c r="S144" s="1">
        <v>122</v>
      </c>
      <c r="T144" s="6">
        <v>2.552133</v>
      </c>
      <c r="U144" s="1">
        <v>147</v>
      </c>
    </row>
    <row r="145" spans="1:21" x14ac:dyDescent="0.2">
      <c r="A145" s="5" t="s">
        <v>27</v>
      </c>
      <c r="B145" s="5" t="s">
        <v>26</v>
      </c>
      <c r="C145" s="3">
        <v>2.2473510000000001</v>
      </c>
      <c r="D145" s="8">
        <v>2.0332180000000002</v>
      </c>
      <c r="E145" s="8">
        <v>2.4614829999999999</v>
      </c>
      <c r="F145" s="2">
        <v>142</v>
      </c>
      <c r="G145" s="5">
        <v>119</v>
      </c>
      <c r="H145" s="5">
        <v>151</v>
      </c>
      <c r="I145" s="7">
        <f>(C145-1)*100/($C$4-1)</f>
        <v>40.050442293181789</v>
      </c>
      <c r="J145" s="6">
        <v>1.75</v>
      </c>
      <c r="K145" s="1">
        <v>151</v>
      </c>
      <c r="L145" s="6">
        <v>1.6875</v>
      </c>
      <c r="M145" s="1">
        <v>149</v>
      </c>
      <c r="N145" s="6">
        <v>2.375</v>
      </c>
      <c r="O145" s="1">
        <v>130</v>
      </c>
      <c r="P145" s="6">
        <v>2.0193449999999999</v>
      </c>
      <c r="Q145" s="1">
        <v>147</v>
      </c>
      <c r="R145" s="6">
        <v>2.5414059999999998</v>
      </c>
      <c r="S145" s="1">
        <v>106</v>
      </c>
      <c r="T145" s="6">
        <v>3.008073</v>
      </c>
      <c r="U145" s="1">
        <v>121</v>
      </c>
    </row>
    <row r="146" spans="1:21" x14ac:dyDescent="0.2">
      <c r="A146" s="5" t="s">
        <v>25</v>
      </c>
      <c r="B146" s="5" t="s">
        <v>24</v>
      </c>
      <c r="C146" s="3">
        <v>2.24316</v>
      </c>
      <c r="D146" s="8">
        <v>2.0621710000000002</v>
      </c>
      <c r="E146" s="8">
        <v>2.4241480000000002</v>
      </c>
      <c r="F146" s="2">
        <v>143</v>
      </c>
      <c r="G146" s="5">
        <v>122</v>
      </c>
      <c r="H146" s="5">
        <v>150</v>
      </c>
      <c r="I146" s="7">
        <f>(C146-1)*100/($C$4-1)</f>
        <v>39.915875997367117</v>
      </c>
      <c r="J146" s="6">
        <v>2.2230850000000002</v>
      </c>
      <c r="K146" s="1">
        <v>104</v>
      </c>
      <c r="L146" s="6">
        <v>1.873596</v>
      </c>
      <c r="M146" s="1">
        <v>139</v>
      </c>
      <c r="N146" s="6">
        <v>2.2449159999999999</v>
      </c>
      <c r="O146" s="1">
        <v>141</v>
      </c>
      <c r="P146" s="6">
        <v>2.090449</v>
      </c>
      <c r="Q146" s="1">
        <v>141</v>
      </c>
      <c r="R146" s="6">
        <v>2.3655029999999999</v>
      </c>
      <c r="S146" s="1">
        <v>128</v>
      </c>
      <c r="T146" s="6">
        <v>2.6055030000000001</v>
      </c>
      <c r="U146" s="1">
        <v>146</v>
      </c>
    </row>
    <row r="147" spans="1:21" x14ac:dyDescent="0.2">
      <c r="A147" s="5" t="s">
        <v>23</v>
      </c>
      <c r="B147" s="5" t="s">
        <v>22</v>
      </c>
      <c r="C147" s="3">
        <v>2.2351830000000001</v>
      </c>
      <c r="D147" s="8">
        <v>2.0043060000000001</v>
      </c>
      <c r="E147" s="8">
        <v>2.466059</v>
      </c>
      <c r="F147" s="2">
        <v>144</v>
      </c>
      <c r="G147" s="5">
        <v>118</v>
      </c>
      <c r="H147" s="5">
        <v>152</v>
      </c>
      <c r="I147" s="7">
        <f>(C147-1)*100/($C$4-1)</f>
        <v>39.65974730690813</v>
      </c>
      <c r="J147" s="6">
        <v>1.9527859999999999</v>
      </c>
      <c r="K147" s="1">
        <v>144</v>
      </c>
      <c r="L147" s="6">
        <v>1.9759439999999999</v>
      </c>
      <c r="M147" s="1">
        <v>131</v>
      </c>
      <c r="N147" s="6">
        <v>2.4821200000000001</v>
      </c>
      <c r="O147" s="1">
        <v>118</v>
      </c>
      <c r="P147" s="6">
        <v>2.1144959999999999</v>
      </c>
      <c r="Q147" s="1">
        <v>139</v>
      </c>
      <c r="R147" s="6">
        <v>1.9554050000000001</v>
      </c>
      <c r="S147" s="1">
        <v>151</v>
      </c>
      <c r="T147" s="6">
        <v>2.8213979999999999</v>
      </c>
      <c r="U147" s="1">
        <v>135</v>
      </c>
    </row>
    <row r="148" spans="1:21" x14ac:dyDescent="0.2">
      <c r="A148" s="5" t="s">
        <v>21</v>
      </c>
      <c r="B148" s="5" t="s">
        <v>20</v>
      </c>
      <c r="C148" s="3">
        <v>2.2256399999999998</v>
      </c>
      <c r="D148" s="8">
        <v>1.749374</v>
      </c>
      <c r="E148" s="8">
        <v>2.7019060000000001</v>
      </c>
      <c r="F148" s="2">
        <v>145</v>
      </c>
      <c r="G148" s="5">
        <v>83</v>
      </c>
      <c r="H148" s="5">
        <v>153</v>
      </c>
      <c r="I148" s="7">
        <f>(C148-1)*100/($C$4-1)</f>
        <v>39.353336865257106</v>
      </c>
      <c r="J148" s="6">
        <v>2.2222219999999999</v>
      </c>
      <c r="K148" s="1">
        <v>105</v>
      </c>
      <c r="L148" s="6">
        <v>1.888889</v>
      </c>
      <c r="M148" s="1">
        <v>137</v>
      </c>
      <c r="N148" s="6">
        <v>1.734259</v>
      </c>
      <c r="O148" s="1">
        <v>153</v>
      </c>
      <c r="P148" s="6">
        <v>2.022119</v>
      </c>
      <c r="Q148" s="1">
        <v>146</v>
      </c>
      <c r="R148" s="6">
        <v>2.772119</v>
      </c>
      <c r="S148" s="1">
        <v>81</v>
      </c>
      <c r="T148" s="6">
        <v>2.772119</v>
      </c>
      <c r="U148" s="1">
        <v>138</v>
      </c>
    </row>
    <row r="149" spans="1:21" x14ac:dyDescent="0.2">
      <c r="A149" s="5" t="s">
        <v>19</v>
      </c>
      <c r="B149" s="5" t="s">
        <v>18</v>
      </c>
      <c r="C149" s="3">
        <v>2.2059799999999998</v>
      </c>
      <c r="D149" s="8">
        <v>1.842668</v>
      </c>
      <c r="E149" s="8">
        <v>2.569293</v>
      </c>
      <c r="F149" s="2">
        <v>146</v>
      </c>
      <c r="G149" s="5">
        <v>105</v>
      </c>
      <c r="H149" s="5">
        <v>153</v>
      </c>
      <c r="I149" s="7">
        <f>(C149-1)*100/($C$4-1)</f>
        <v>38.722085761530927</v>
      </c>
      <c r="J149" s="6">
        <v>2.01627</v>
      </c>
      <c r="K149" s="1">
        <v>139</v>
      </c>
      <c r="L149" s="6">
        <v>1.7777780000000001</v>
      </c>
      <c r="M149" s="1">
        <v>144</v>
      </c>
      <c r="N149" s="6">
        <v>2.1111110000000002</v>
      </c>
      <c r="O149" s="1">
        <v>151</v>
      </c>
      <c r="P149" s="6">
        <v>2.148809</v>
      </c>
      <c r="Q149" s="1">
        <v>135</v>
      </c>
      <c r="R149" s="6">
        <v>2.0218250000000002</v>
      </c>
      <c r="S149" s="1">
        <v>148</v>
      </c>
      <c r="T149" s="6">
        <v>3.088889</v>
      </c>
      <c r="U149" s="1">
        <v>108</v>
      </c>
    </row>
    <row r="150" spans="1:21" x14ac:dyDescent="0.2">
      <c r="A150" s="5" t="s">
        <v>17</v>
      </c>
      <c r="B150" s="5" t="s">
        <v>16</v>
      </c>
      <c r="C150" s="3">
        <v>2.203265</v>
      </c>
      <c r="D150" s="8">
        <v>2.0094379999999998</v>
      </c>
      <c r="E150" s="8">
        <v>2.3970919999999998</v>
      </c>
      <c r="F150" s="2">
        <v>147</v>
      </c>
      <c r="G150" s="5">
        <v>126</v>
      </c>
      <c r="H150" s="5">
        <v>152</v>
      </c>
      <c r="I150" s="7">
        <f>(C150-1)*100/($C$4-1)</f>
        <v>38.634911461092656</v>
      </c>
      <c r="J150" s="6">
        <v>2.0666669999999998</v>
      </c>
      <c r="K150" s="1">
        <v>131</v>
      </c>
      <c r="L150" s="6">
        <v>1.8</v>
      </c>
      <c r="M150" s="1">
        <v>143</v>
      </c>
      <c r="N150" s="6">
        <v>2.2146029999999999</v>
      </c>
      <c r="O150" s="1">
        <v>143</v>
      </c>
      <c r="P150" s="6">
        <v>2.0717460000000001</v>
      </c>
      <c r="Q150" s="1">
        <v>143</v>
      </c>
      <c r="R150" s="6">
        <v>2.2588059999999999</v>
      </c>
      <c r="S150" s="1">
        <v>140</v>
      </c>
      <c r="T150" s="6">
        <v>2.739236</v>
      </c>
      <c r="U150" s="1">
        <v>139</v>
      </c>
    </row>
    <row r="151" spans="1:21" x14ac:dyDescent="0.2">
      <c r="A151" s="5" t="s">
        <v>15</v>
      </c>
      <c r="B151" s="5" t="s">
        <v>14</v>
      </c>
      <c r="C151" s="3">
        <v>2.1054550000000001</v>
      </c>
      <c r="D151" s="8">
        <v>1.86738</v>
      </c>
      <c r="E151" s="8">
        <v>2.3435290000000002</v>
      </c>
      <c r="F151" s="2">
        <v>148</v>
      </c>
      <c r="G151" s="5">
        <v>132</v>
      </c>
      <c r="H151" s="5">
        <v>153</v>
      </c>
      <c r="I151" s="7">
        <f>(C151-1)*100/($C$4-1)</f>
        <v>35.49438905745798</v>
      </c>
      <c r="J151" s="6">
        <v>2.0666669999999998</v>
      </c>
      <c r="K151" s="1">
        <v>130</v>
      </c>
      <c r="L151" s="6">
        <v>1.733333</v>
      </c>
      <c r="M151" s="1">
        <v>147</v>
      </c>
      <c r="N151" s="6">
        <v>2.2000000000000002</v>
      </c>
      <c r="O151" s="1">
        <v>144</v>
      </c>
      <c r="P151" s="6">
        <v>2.0984129999999999</v>
      </c>
      <c r="Q151" s="1">
        <v>140</v>
      </c>
      <c r="R151" s="6">
        <v>1.9555560000000001</v>
      </c>
      <c r="S151" s="1">
        <v>150</v>
      </c>
      <c r="T151" s="6">
        <v>2.4921120000000001</v>
      </c>
      <c r="U151" s="1">
        <v>148</v>
      </c>
    </row>
    <row r="152" spans="1:21" x14ac:dyDescent="0.2">
      <c r="A152" s="5" t="s">
        <v>13</v>
      </c>
      <c r="B152" s="5" t="s">
        <v>12</v>
      </c>
      <c r="C152" s="3">
        <v>2.101429</v>
      </c>
      <c r="D152" s="8">
        <v>1.6870179999999999</v>
      </c>
      <c r="E152" s="8">
        <v>2.515841</v>
      </c>
      <c r="F152" s="2">
        <v>149</v>
      </c>
      <c r="G152" s="5">
        <v>112</v>
      </c>
      <c r="H152" s="5">
        <v>154</v>
      </c>
      <c r="I152" s="7">
        <f>(C152-1)*100/($C$4-1)</f>
        <v>35.365120647305304</v>
      </c>
      <c r="J152" s="6">
        <v>1.885397</v>
      </c>
      <c r="K152" s="1">
        <v>148</v>
      </c>
      <c r="L152" s="6">
        <v>1.5568249999999999</v>
      </c>
      <c r="M152" s="1">
        <v>153</v>
      </c>
      <c r="N152" s="6">
        <v>2.7476189999999998</v>
      </c>
      <c r="O152" s="1">
        <v>92</v>
      </c>
      <c r="P152" s="6">
        <v>1.5568249999999999</v>
      </c>
      <c r="Q152" s="1">
        <v>153</v>
      </c>
      <c r="R152" s="6">
        <v>1.713333</v>
      </c>
      <c r="S152" s="1">
        <v>153</v>
      </c>
      <c r="T152" s="6">
        <v>2.9095240000000002</v>
      </c>
      <c r="U152" s="1">
        <v>126</v>
      </c>
    </row>
    <row r="153" spans="1:21" x14ac:dyDescent="0.2">
      <c r="A153" s="5" t="s">
        <v>11</v>
      </c>
      <c r="B153" s="5" t="s">
        <v>10</v>
      </c>
      <c r="C153" s="3">
        <v>2.0670250000000001</v>
      </c>
      <c r="D153" s="8">
        <v>1.842435</v>
      </c>
      <c r="E153" s="8">
        <v>2.2916150000000002</v>
      </c>
      <c r="F153" s="2">
        <v>150</v>
      </c>
      <c r="G153" s="5">
        <v>137</v>
      </c>
      <c r="H153" s="5">
        <v>153</v>
      </c>
      <c r="I153" s="7">
        <f>(C153-1)*100/($C$4-1)</f>
        <v>34.260463324182446</v>
      </c>
      <c r="J153" s="6">
        <v>1.789474</v>
      </c>
      <c r="K153" s="1">
        <v>150</v>
      </c>
      <c r="L153" s="6">
        <v>1.904514</v>
      </c>
      <c r="M153" s="1">
        <v>136</v>
      </c>
      <c r="N153" s="6">
        <v>2.3162780000000001</v>
      </c>
      <c r="O153" s="1">
        <v>135</v>
      </c>
      <c r="P153" s="6">
        <v>1.8807689999999999</v>
      </c>
      <c r="Q153" s="1">
        <v>151</v>
      </c>
      <c r="R153" s="6">
        <v>2.0268640000000002</v>
      </c>
      <c r="S153" s="1">
        <v>146</v>
      </c>
      <c r="T153" s="6">
        <v>2.4058639999999998</v>
      </c>
      <c r="U153" s="1">
        <v>149</v>
      </c>
    </row>
    <row r="154" spans="1:21" x14ac:dyDescent="0.2">
      <c r="A154" s="5" t="s">
        <v>9</v>
      </c>
      <c r="B154" s="5" t="s">
        <v>8</v>
      </c>
      <c r="C154" s="3">
        <v>2.0386869999999999</v>
      </c>
      <c r="D154" s="8">
        <v>1.734815</v>
      </c>
      <c r="E154" s="8">
        <v>2.3425590000000001</v>
      </c>
      <c r="F154" s="2">
        <v>151</v>
      </c>
      <c r="G154" s="5">
        <v>132</v>
      </c>
      <c r="H154" s="5">
        <v>153</v>
      </c>
      <c r="I154" s="7">
        <f>(C154-1)*100/($C$4-1)</f>
        <v>33.35057554303328</v>
      </c>
      <c r="J154" s="6">
        <v>1.625</v>
      </c>
      <c r="K154" s="1">
        <v>153</v>
      </c>
      <c r="L154" s="6">
        <v>1.625</v>
      </c>
      <c r="M154" s="1">
        <v>150</v>
      </c>
      <c r="N154" s="6">
        <v>2.875</v>
      </c>
      <c r="O154" s="1">
        <v>67</v>
      </c>
      <c r="P154" s="6">
        <v>1.8519350000000001</v>
      </c>
      <c r="Q154" s="1">
        <v>152</v>
      </c>
      <c r="R154" s="6">
        <v>1.9947919999999999</v>
      </c>
      <c r="S154" s="1">
        <v>149</v>
      </c>
      <c r="T154" s="6">
        <v>2.0452379999999999</v>
      </c>
      <c r="U154" s="1">
        <v>154</v>
      </c>
    </row>
    <row r="155" spans="1:21" x14ac:dyDescent="0.2">
      <c r="A155" s="5" t="s">
        <v>7</v>
      </c>
      <c r="B155" s="5" t="s">
        <v>6</v>
      </c>
      <c r="C155" s="3">
        <v>2.0203950000000002</v>
      </c>
      <c r="D155" s="8">
        <v>1.6319790000000001</v>
      </c>
      <c r="E155" s="8">
        <v>2.408811</v>
      </c>
      <c r="F155" s="2">
        <v>152</v>
      </c>
      <c r="G155" s="5">
        <v>125</v>
      </c>
      <c r="H155" s="5">
        <v>154</v>
      </c>
      <c r="I155" s="7">
        <f>(C155-1)*100/($C$4-1)</f>
        <v>32.763248727704742</v>
      </c>
      <c r="J155" s="6">
        <v>1.678571</v>
      </c>
      <c r="K155" s="1">
        <v>152</v>
      </c>
      <c r="L155" s="6">
        <v>1.7083330000000001</v>
      </c>
      <c r="M155" s="1">
        <v>148</v>
      </c>
      <c r="N155" s="6">
        <v>2.1964290000000002</v>
      </c>
      <c r="O155" s="1">
        <v>145</v>
      </c>
      <c r="P155" s="6">
        <v>2.0416669999999999</v>
      </c>
      <c r="Q155" s="1">
        <v>144</v>
      </c>
      <c r="R155" s="6">
        <v>2.0416669999999999</v>
      </c>
      <c r="S155" s="1">
        <v>144</v>
      </c>
      <c r="T155" s="6">
        <v>2.375</v>
      </c>
      <c r="U155" s="1">
        <v>151</v>
      </c>
    </row>
    <row r="156" spans="1:21" x14ac:dyDescent="0.2">
      <c r="A156" s="5" t="s">
        <v>5</v>
      </c>
      <c r="B156" s="5" t="s">
        <v>4</v>
      </c>
      <c r="C156" s="3">
        <v>1.970413</v>
      </c>
      <c r="D156" s="8">
        <v>1.7476970000000001</v>
      </c>
      <c r="E156" s="8">
        <v>2.1931289999999999</v>
      </c>
      <c r="F156" s="2">
        <v>153</v>
      </c>
      <c r="G156" s="5">
        <v>148</v>
      </c>
      <c r="H156" s="5">
        <v>153</v>
      </c>
      <c r="I156" s="7">
        <f>(C156-1)*100/($C$4-1)</f>
        <v>31.158406781293646</v>
      </c>
      <c r="J156" s="6">
        <v>2.17</v>
      </c>
      <c r="K156" s="1">
        <v>110</v>
      </c>
      <c r="L156" s="6">
        <v>1.608333</v>
      </c>
      <c r="M156" s="1">
        <v>152</v>
      </c>
      <c r="N156" s="6">
        <v>2.3250000000000002</v>
      </c>
      <c r="O156" s="1">
        <v>134</v>
      </c>
      <c r="P156" s="6">
        <v>1.5249999999999999</v>
      </c>
      <c r="Q156" s="1">
        <v>154</v>
      </c>
      <c r="R156" s="6">
        <v>1.7250000000000001</v>
      </c>
      <c r="S156" s="1">
        <v>152</v>
      </c>
      <c r="T156" s="6">
        <v>2.3250000000000002</v>
      </c>
      <c r="U156" s="1">
        <v>152</v>
      </c>
    </row>
    <row r="157" spans="1:21" x14ac:dyDescent="0.2">
      <c r="A157" s="5" t="s">
        <v>3</v>
      </c>
      <c r="B157" s="5" t="s">
        <v>2</v>
      </c>
      <c r="C157" s="3">
        <v>1.6964360000000001</v>
      </c>
      <c r="D157" s="8">
        <v>1.336892</v>
      </c>
      <c r="E157" s="8">
        <v>2.0559789999999998</v>
      </c>
      <c r="F157" s="2">
        <v>154</v>
      </c>
      <c r="G157" s="5">
        <v>151</v>
      </c>
      <c r="H157" s="5">
        <v>155</v>
      </c>
      <c r="I157" s="7">
        <f>(C157-1)*100/($C$4-1)</f>
        <v>22.36144423573986</v>
      </c>
      <c r="J157" s="6">
        <v>1.5</v>
      </c>
      <c r="K157" s="1">
        <v>154</v>
      </c>
      <c r="L157" s="6">
        <v>1.348214</v>
      </c>
      <c r="M157" s="1">
        <v>155</v>
      </c>
      <c r="N157" s="6">
        <v>1.633929</v>
      </c>
      <c r="O157" s="1">
        <v>154</v>
      </c>
      <c r="P157" s="6">
        <v>1.880952</v>
      </c>
      <c r="Q157" s="1">
        <v>150</v>
      </c>
      <c r="R157" s="6">
        <v>1.5476190000000001</v>
      </c>
      <c r="S157" s="1">
        <v>154</v>
      </c>
      <c r="T157" s="6">
        <v>2.214286</v>
      </c>
      <c r="U157" s="1">
        <v>153</v>
      </c>
    </row>
    <row r="158" spans="1:21" x14ac:dyDescent="0.2">
      <c r="A158" s="5" t="s">
        <v>1</v>
      </c>
      <c r="B158" s="5" t="s">
        <v>0</v>
      </c>
      <c r="C158" s="3">
        <v>1.338373</v>
      </c>
      <c r="D158" s="8">
        <v>1.048071</v>
      </c>
      <c r="E158" s="8">
        <v>1.628674</v>
      </c>
      <c r="F158" s="2">
        <v>155</v>
      </c>
      <c r="G158" s="5">
        <v>155</v>
      </c>
      <c r="H158" s="5">
        <v>155</v>
      </c>
      <c r="I158" s="7">
        <f>(C158-1)*100/($C$4-1)</f>
        <v>10.864614940037569</v>
      </c>
      <c r="J158" s="6">
        <v>1.3333330000000001</v>
      </c>
      <c r="K158" s="1">
        <v>155</v>
      </c>
      <c r="L158" s="6">
        <v>1.5</v>
      </c>
      <c r="M158" s="1">
        <v>154</v>
      </c>
      <c r="N158" s="6">
        <v>1.3333330000000001</v>
      </c>
      <c r="O158" s="1">
        <v>155</v>
      </c>
      <c r="P158" s="6">
        <v>1.3333330000000001</v>
      </c>
      <c r="Q158" s="1">
        <v>155</v>
      </c>
      <c r="R158" s="6">
        <v>1.1666669999999999</v>
      </c>
      <c r="S158" s="1">
        <v>155</v>
      </c>
      <c r="T158" s="6">
        <v>1.3777779999999999</v>
      </c>
      <c r="U158" s="1">
        <v>155</v>
      </c>
    </row>
  </sheetData>
  <pageMargins left="0.7" right="0.7" top="0.75" bottom="0.75" header="0.3" footer="0.3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Rønnebek Hansen</dc:creator>
  <cp:lastModifiedBy>Thomas Rønnebek Hansen</cp:lastModifiedBy>
  <dcterms:created xsi:type="dcterms:W3CDTF">2026-03-17T13:26:42Z</dcterms:created>
  <dcterms:modified xsi:type="dcterms:W3CDTF">2026-03-17T13:27:35Z</dcterms:modified>
</cp:coreProperties>
</file>