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Desktop/Master Thesis/Data/Index data/"/>
    </mc:Choice>
  </mc:AlternateContent>
  <xr:revisionPtr revIDLastSave="0" documentId="13_ncr:1_{5B861437-46C8-B44F-8D06-F187B918D40D}" xr6:coauthVersionLast="47" xr6:coauthVersionMax="47" xr10:uidLastSave="{00000000-0000-0000-0000-000000000000}"/>
  <bookViews>
    <workbookView xWindow="980" yWindow="600" windowWidth="51200" windowHeight="27140" xr2:uid="{8D293915-34C6-A844-A669-C64818308524}"/>
  </bookViews>
  <sheets>
    <sheet name="2007" sheetId="2" r:id="rId1"/>
  </sheets>
  <definedNames>
    <definedName name="_xlnm._FilterDatabase" localSheetId="0" hidden="1">'2007'!$A$3:$T$3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</calcChain>
</file>

<file path=xl/sharedStrings.xml><?xml version="1.0" encoding="utf-8"?>
<sst xmlns="http://schemas.openxmlformats.org/spreadsheetml/2006/main" count="328" uniqueCount="314">
  <si>
    <t>AFG</t>
  </si>
  <si>
    <t>Afghanistan</t>
  </si>
  <si>
    <t>TMP</t>
  </si>
  <si>
    <t>Timor-Leste</t>
  </si>
  <si>
    <t>RWA</t>
  </si>
  <si>
    <t>Rwanda</t>
  </si>
  <si>
    <t>MMR</t>
  </si>
  <si>
    <t>Myanmar</t>
  </si>
  <si>
    <t>TJK</t>
  </si>
  <si>
    <t>Tajikistan</t>
  </si>
  <si>
    <t>DJI</t>
  </si>
  <si>
    <t>Djibouti</t>
  </si>
  <si>
    <t>SLE</t>
  </si>
  <si>
    <t>Sierra Leone</t>
  </si>
  <si>
    <t>NER</t>
  </si>
  <si>
    <t>Niger</t>
  </si>
  <si>
    <t>TCD</t>
  </si>
  <si>
    <t>Chad</t>
  </si>
  <si>
    <t>GUY</t>
  </si>
  <si>
    <t>Guyana</t>
  </si>
  <si>
    <t>DZA</t>
  </si>
  <si>
    <t>Algeria</t>
  </si>
  <si>
    <t>ALB</t>
  </si>
  <si>
    <t>Albania</t>
  </si>
  <si>
    <t>SLB</t>
  </si>
  <si>
    <t>Solomon Islands</t>
  </si>
  <si>
    <t>TZA</t>
  </si>
  <si>
    <t>Tanzania</t>
  </si>
  <si>
    <t>MNG</t>
  </si>
  <si>
    <t>Mongolia</t>
  </si>
  <si>
    <t>SYR</t>
  </si>
  <si>
    <t>Syria</t>
  </si>
  <si>
    <t>GAB</t>
  </si>
  <si>
    <t>Gabon</t>
  </si>
  <si>
    <t>KAZ</t>
  </si>
  <si>
    <t>Kazakhstan</t>
  </si>
  <si>
    <t>MUS</t>
  </si>
  <si>
    <t>Mauritius</t>
  </si>
  <si>
    <t>ARM</t>
  </si>
  <si>
    <t>Armenia</t>
  </si>
  <si>
    <t>NPL</t>
  </si>
  <si>
    <t>Nepal</t>
  </si>
  <si>
    <t>UZB</t>
  </si>
  <si>
    <t>Uzbekistan</t>
  </si>
  <si>
    <t>BTN</t>
  </si>
  <si>
    <t>Buthan</t>
  </si>
  <si>
    <t>SOM</t>
  </si>
  <si>
    <t>Somalia</t>
  </si>
  <si>
    <t>NAM</t>
  </si>
  <si>
    <t>Namibia</t>
  </si>
  <si>
    <t>GHA</t>
  </si>
  <si>
    <t>Ghana</t>
  </si>
  <si>
    <t>ERI</t>
  </si>
  <si>
    <t>Eritrea</t>
  </si>
  <si>
    <t>HTI</t>
  </si>
  <si>
    <t>Haiti</t>
  </si>
  <si>
    <t>NIC</t>
  </si>
  <si>
    <t>Nicaragua</t>
  </si>
  <si>
    <t>BFA</t>
  </si>
  <si>
    <t>Burkina Faso</t>
  </si>
  <si>
    <t>MDG</t>
  </si>
  <si>
    <t>Madagascar</t>
  </si>
  <si>
    <t>TGO</t>
  </si>
  <si>
    <t>Togo</t>
  </si>
  <si>
    <t>JAM</t>
  </si>
  <si>
    <t>Jamaica</t>
  </si>
  <si>
    <t>LAO</t>
  </si>
  <si>
    <t>Laos, PDR</t>
  </si>
  <si>
    <t>GNB</t>
  </si>
  <si>
    <t>Guinea-Bissau</t>
  </si>
  <si>
    <t>YUG</t>
  </si>
  <si>
    <t>SerbiaMontenegro</t>
  </si>
  <si>
    <t>ZWE</t>
  </si>
  <si>
    <t>Zimbabwe</t>
  </si>
  <si>
    <t>BDI</t>
  </si>
  <si>
    <t>Burundi</t>
  </si>
  <si>
    <t>YEM</t>
  </si>
  <si>
    <t>Yemen</t>
  </si>
  <si>
    <t>AZE</t>
  </si>
  <si>
    <t>Azerbaijan</t>
  </si>
  <si>
    <t>MOZ</t>
  </si>
  <si>
    <t>Mozambique</t>
  </si>
  <si>
    <t>MLI</t>
  </si>
  <si>
    <t>Mali</t>
  </si>
  <si>
    <t>LSO</t>
  </si>
  <si>
    <t>Lesotho</t>
  </si>
  <si>
    <t>BOL</t>
  </si>
  <si>
    <t>Bolivia</t>
  </si>
  <si>
    <t>MDA</t>
  </si>
  <si>
    <t>Moldova</t>
  </si>
  <si>
    <t>LBR</t>
  </si>
  <si>
    <t>Liberia</t>
  </si>
  <si>
    <t>ETH</t>
  </si>
  <si>
    <t>Ethiopia</t>
  </si>
  <si>
    <t>KGZ</t>
  </si>
  <si>
    <t>Kyrgyz Republic</t>
  </si>
  <si>
    <t>CIV</t>
  </si>
  <si>
    <t>Côte d'Ivoire</t>
  </si>
  <si>
    <t>SEN</t>
  </si>
  <si>
    <t>Senegal</t>
  </si>
  <si>
    <t>ZMB</t>
  </si>
  <si>
    <t>Zambia</t>
  </si>
  <si>
    <t>RUS</t>
  </si>
  <si>
    <t>Russian Federation</t>
  </si>
  <si>
    <t>LBN</t>
  </si>
  <si>
    <t>Lebanon</t>
  </si>
  <si>
    <t>EGY</t>
  </si>
  <si>
    <t>Egypt</t>
  </si>
  <si>
    <t>DOM</t>
  </si>
  <si>
    <t>Dominican Republic</t>
  </si>
  <si>
    <t>PNG</t>
  </si>
  <si>
    <t>Papua New Guinea</t>
  </si>
  <si>
    <t>MAR</t>
  </si>
  <si>
    <t>Morocco</t>
  </si>
  <si>
    <t>NGA</t>
  </si>
  <si>
    <t>Nigeria</t>
  </si>
  <si>
    <t>LKA</t>
  </si>
  <si>
    <t>Sri Lanka</t>
  </si>
  <si>
    <t>MWI</t>
  </si>
  <si>
    <t>Malawi</t>
  </si>
  <si>
    <t>MKD</t>
  </si>
  <si>
    <t>Macedonia</t>
  </si>
  <si>
    <t>BEN</t>
  </si>
  <si>
    <t>Benin</t>
  </si>
  <si>
    <t>BIH</t>
  </si>
  <si>
    <t>Bosnia and Herzegovina</t>
  </si>
  <si>
    <t>BGD</t>
  </si>
  <si>
    <t>Bangladesh</t>
  </si>
  <si>
    <t>AGO</t>
  </si>
  <si>
    <t>Angola</t>
  </si>
  <si>
    <t>COM</t>
  </si>
  <si>
    <t>Comoros</t>
  </si>
  <si>
    <t>CMR</t>
  </si>
  <si>
    <t>Cameroon</t>
  </si>
  <si>
    <t>UGA</t>
  </si>
  <si>
    <t>Uganda</t>
  </si>
  <si>
    <t>COL</t>
  </si>
  <si>
    <t>Colombia</t>
  </si>
  <si>
    <t>KHM</t>
  </si>
  <si>
    <t>Cambodia</t>
  </si>
  <si>
    <t>HND</t>
  </si>
  <si>
    <t>Honduras</t>
  </si>
  <si>
    <t>URY</t>
  </si>
  <si>
    <t>Uruguay</t>
  </si>
  <si>
    <t>IRN</t>
  </si>
  <si>
    <t>Iran</t>
  </si>
  <si>
    <t>GMB</t>
  </si>
  <si>
    <t>Gambia</t>
  </si>
  <si>
    <t>KEN</t>
  </si>
  <si>
    <t>Kenya</t>
  </si>
  <si>
    <t>GTM</t>
  </si>
  <si>
    <t>Guatemala</t>
  </si>
  <si>
    <t>BLR</t>
  </si>
  <si>
    <t>Belarus</t>
  </si>
  <si>
    <t>UKR</t>
  </si>
  <si>
    <t>Ukraine</t>
  </si>
  <si>
    <t>CRI</t>
  </si>
  <si>
    <t>Costa Rica</t>
  </si>
  <si>
    <t>PRY</t>
  </si>
  <si>
    <t>Paraguay</t>
  </si>
  <si>
    <t>ECU</t>
  </si>
  <si>
    <t>Ecuador</t>
  </si>
  <si>
    <t>VEN</t>
  </si>
  <si>
    <t>Venezuela</t>
  </si>
  <si>
    <t>PAK</t>
  </si>
  <si>
    <t>Pakistan</t>
  </si>
  <si>
    <t>MRT</t>
  </si>
  <si>
    <t>Mauritania</t>
  </si>
  <si>
    <t>SLV</t>
  </si>
  <si>
    <t>El Salvador</t>
  </si>
  <si>
    <t>PHL</t>
  </si>
  <si>
    <t>Philippines</t>
  </si>
  <si>
    <t>SDN</t>
  </si>
  <si>
    <t>Sudan</t>
  </si>
  <si>
    <t>HRV</t>
  </si>
  <si>
    <t>Croatia</t>
  </si>
  <si>
    <t>GIN</t>
  </si>
  <si>
    <t>Guinea</t>
  </si>
  <si>
    <t>BRA</t>
  </si>
  <si>
    <t>Brazil</t>
  </si>
  <si>
    <t>TUN</t>
  </si>
  <si>
    <t>Tunisia</t>
  </si>
  <si>
    <t>PER</t>
  </si>
  <si>
    <t>Peru</t>
  </si>
  <si>
    <t>LTU</t>
  </si>
  <si>
    <t>Lithuania</t>
  </si>
  <si>
    <t>STP</t>
  </si>
  <si>
    <t>Sao Tome</t>
  </si>
  <si>
    <t>MEX</t>
  </si>
  <si>
    <t>Mexico</t>
  </si>
  <si>
    <t>BGR</t>
  </si>
  <si>
    <t>Bulgaria</t>
  </si>
  <si>
    <t>PAN</t>
  </si>
  <si>
    <t>Panama</t>
  </si>
  <si>
    <t>VNM</t>
  </si>
  <si>
    <t>Vietnam</t>
  </si>
  <si>
    <t>JOR</t>
  </si>
  <si>
    <t>Jordan</t>
  </si>
  <si>
    <t>ROM</t>
  </si>
  <si>
    <t>Romania</t>
  </si>
  <si>
    <t>SVK</t>
  </si>
  <si>
    <t>Slovak Republic</t>
  </si>
  <si>
    <t>CYP</t>
  </si>
  <si>
    <t>Cyprus</t>
  </si>
  <si>
    <t>OMN</t>
  </si>
  <si>
    <t>Oman</t>
  </si>
  <si>
    <t>EST</t>
  </si>
  <si>
    <t>Estonia</t>
  </si>
  <si>
    <t>QAT</t>
  </si>
  <si>
    <t>Qatar</t>
  </si>
  <si>
    <t>ARG</t>
  </si>
  <si>
    <t>Argentina</t>
  </si>
  <si>
    <t>KWT</t>
  </si>
  <si>
    <t>Kuwait</t>
  </si>
  <si>
    <t>IDN</t>
  </si>
  <si>
    <t>Indonesia</t>
  </si>
  <si>
    <t>LVA</t>
  </si>
  <si>
    <t>Latvia</t>
  </si>
  <si>
    <t>SAU</t>
  </si>
  <si>
    <t>Saudi Arabia</t>
  </si>
  <si>
    <t>POL</t>
  </si>
  <si>
    <t>Poland</t>
  </si>
  <si>
    <t>IND</t>
  </si>
  <si>
    <t>India</t>
  </si>
  <si>
    <t>CZE</t>
  </si>
  <si>
    <t>Czech Republic</t>
  </si>
  <si>
    <t>SVN</t>
  </si>
  <si>
    <t>Slovenia</t>
  </si>
  <si>
    <t>BHR</t>
  </si>
  <si>
    <t>Bahrain</t>
  </si>
  <si>
    <t>HUN</t>
  </si>
  <si>
    <t>Hungary</t>
  </si>
  <si>
    <t>TUR</t>
  </si>
  <si>
    <t>Turkey</t>
  </si>
  <si>
    <t>ISR</t>
  </si>
  <si>
    <t>Israel</t>
  </si>
  <si>
    <t>CHL</t>
  </si>
  <si>
    <t>Chile</t>
  </si>
  <si>
    <t>THA</t>
  </si>
  <si>
    <t>Thailand</t>
  </si>
  <si>
    <t>CHN</t>
  </si>
  <si>
    <t>China</t>
  </si>
  <si>
    <t>GRC</t>
  </si>
  <si>
    <t>Greece</t>
  </si>
  <si>
    <t>PRT</t>
  </si>
  <si>
    <t>Portugal</t>
  </si>
  <si>
    <t>MYS</t>
  </si>
  <si>
    <t>Malaysia</t>
  </si>
  <si>
    <t>ESP</t>
  </si>
  <si>
    <t>Spain</t>
  </si>
  <si>
    <t>KOR</t>
  </si>
  <si>
    <t>South Korea</t>
  </si>
  <si>
    <t>ZAF</t>
  </si>
  <si>
    <t>South Africa</t>
  </si>
  <si>
    <t>LUX</t>
  </si>
  <si>
    <t>Luxemburg</t>
  </si>
  <si>
    <t>ITA</t>
  </si>
  <si>
    <t>Italy</t>
  </si>
  <si>
    <t>TWN</t>
  </si>
  <si>
    <t>Taiwan, China</t>
  </si>
  <si>
    <t>ARE</t>
  </si>
  <si>
    <t>United Arab Emirates</t>
  </si>
  <si>
    <t>NZL</t>
  </si>
  <si>
    <t>New Zealand</t>
  </si>
  <si>
    <t>FRA</t>
  </si>
  <si>
    <t>France</t>
  </si>
  <si>
    <t>AUS</t>
  </si>
  <si>
    <t>Australia</t>
  </si>
  <si>
    <t>NOR</t>
  </si>
  <si>
    <t>Norway</t>
  </si>
  <si>
    <t>FIN</t>
  </si>
  <si>
    <t>Finland</t>
  </si>
  <si>
    <t>USA</t>
  </si>
  <si>
    <t>United States</t>
  </si>
  <si>
    <t>DNK</t>
  </si>
  <si>
    <t>Denmark</t>
  </si>
  <si>
    <t>BEL</t>
  </si>
  <si>
    <t>Belgium</t>
  </si>
  <si>
    <t>IRL</t>
  </si>
  <si>
    <t>Ireland</t>
  </si>
  <si>
    <t>CAN</t>
  </si>
  <si>
    <t>Canada</t>
  </si>
  <si>
    <t>GBR</t>
  </si>
  <si>
    <t>United Kingdom</t>
  </si>
  <si>
    <t>HKG</t>
  </si>
  <si>
    <t>Hong Kong, China</t>
  </si>
  <si>
    <t>CHE</t>
  </si>
  <si>
    <t>Switzerland</t>
  </si>
  <si>
    <t>JPN</t>
  </si>
  <si>
    <t>Japan</t>
  </si>
  <si>
    <t>AUT</t>
  </si>
  <si>
    <t>Austria</t>
  </si>
  <si>
    <t>SWE</t>
  </si>
  <si>
    <t>Sweden</t>
  </si>
  <si>
    <t>DEU</t>
  </si>
  <si>
    <t>Germany</t>
  </si>
  <si>
    <t>NLD</t>
  </si>
  <si>
    <t>Netherlands</t>
  </si>
  <si>
    <t>SGP</t>
  </si>
  <si>
    <t>Singapore</t>
  </si>
  <si>
    <t>Rank</t>
  </si>
  <si>
    <t>Score</t>
  </si>
  <si>
    <t>% of highest performer</t>
  </si>
  <si>
    <t>Confidence interval</t>
  </si>
  <si>
    <t>Code</t>
  </si>
  <si>
    <t>Country</t>
  </si>
  <si>
    <t>Timeliness</t>
  </si>
  <si>
    <t>Domestic Logistics Costs</t>
  </si>
  <si>
    <t>Ease of Tracking</t>
  </si>
  <si>
    <t>Logistics Services</t>
  </si>
  <si>
    <t>Ease of Shipment</t>
  </si>
  <si>
    <t>Infrastructure</t>
  </si>
  <si>
    <t>Customs</t>
  </si>
  <si>
    <t>Overall LPI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</si>
</sst>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6" fillId="0" borderId="0"/>
  </cellStyleXfs>
  <cellXfs count="11">
    <xf numFmtId="0" fontId="0" fillId="0" borderId="0" xfId="0"/>
    <xf numFmtId="0" fontId="1" fillId="0" borderId="0" xfId="1"/>
    <xf numFmtId="0" fontId="3" fillId="0" borderId="0" xfId="2" applyFont="1" applyAlignment="1">
      <alignment horizontal="left"/>
    </xf>
    <xf numFmtId="0" fontId="4" fillId="0" borderId="0" xfId="2" applyFont="1" applyAlignment="1">
      <alignment horizontal="left"/>
    </xf>
    <xf numFmtId="2" fontId="4" fillId="0" borderId="0" xfId="3" applyNumberFormat="1" applyFont="1" applyAlignment="1">
      <alignment horizontal="left"/>
    </xf>
    <xf numFmtId="0" fontId="3" fillId="0" borderId="0" xfId="3" applyFont="1" applyAlignment="1">
      <alignment horizontal="left"/>
    </xf>
    <xf numFmtId="2" fontId="3" fillId="0" borderId="0" xfId="2" applyNumberFormat="1" applyFont="1" applyAlignment="1">
      <alignment horizontal="left"/>
    </xf>
    <xf numFmtId="164" fontId="3" fillId="0" borderId="0" xfId="2" applyNumberFormat="1" applyFont="1" applyAlignment="1">
      <alignment horizontal="left"/>
    </xf>
    <xf numFmtId="2" fontId="5" fillId="0" borderId="0" xfId="2" applyNumberFormat="1" applyFont="1"/>
    <xf numFmtId="0" fontId="3" fillId="0" borderId="0" xfId="4" applyFont="1" applyAlignment="1">
      <alignment horizontal="left" vertical="center"/>
    </xf>
    <xf numFmtId="0" fontId="4" fillId="0" borderId="0" xfId="2" applyFont="1" applyAlignment="1">
      <alignment horizontal="left" vertical="center"/>
    </xf>
  </cellXfs>
  <cellStyles count="5">
    <cellStyle name="Normal" xfId="0" builtinId="0"/>
    <cellStyle name="Normal 2" xfId="1" xr:uid="{C5979008-EFB0-A04E-A436-FD9FB654B500}"/>
    <cellStyle name="Normal_COUNTRY" xfId="4" xr:uid="{44194F30-97B2-7443-A40E-0522F0BD2EA4}"/>
    <cellStyle name="Normal_LPI_international" xfId="2" xr:uid="{EFC3B40A-C7D3-B942-90CB-CB719D8BDB56}"/>
    <cellStyle name="Normal_optional section results" xfId="3" xr:uid="{0473B4E2-B5C1-744D-B580-D9153E762E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8E81-6FD2-844B-A0D9-22317DE5A82B}">
  <dimension ref="A1:T164"/>
  <sheetViews>
    <sheetView tabSelected="1" topLeftCell="B1" workbookViewId="0">
      <selection activeCell="AG39" sqref="AG39"/>
    </sheetView>
  </sheetViews>
  <sheetFormatPr baseColWidth="10" defaultColWidth="8.83203125" defaultRowHeight="15"/>
  <cols>
    <col min="1" max="1" width="26.5" style="2" bestFit="1" customWidth="1"/>
    <col min="2" max="2" width="5.6640625" style="2" bestFit="1" customWidth="1"/>
    <col min="3" max="3" width="13.83203125" style="3" bestFit="1" customWidth="1"/>
    <col min="4" max="4" width="5.5" style="3" customWidth="1"/>
    <col min="5" max="5" width="16.1640625" style="1" bestFit="1" customWidth="1"/>
    <col min="6" max="6" width="12.1640625" style="3" customWidth="1"/>
    <col min="7" max="7" width="7.1640625" style="2" bestFit="1" customWidth="1"/>
    <col min="8" max="8" width="6.5" style="2" bestFit="1" customWidth="1"/>
    <col min="9" max="9" width="7.1640625" style="2" bestFit="1" customWidth="1"/>
    <col min="10" max="10" width="6.5" style="2" bestFit="1" customWidth="1"/>
    <col min="11" max="11" width="7.1640625" style="2" bestFit="1" customWidth="1"/>
    <col min="12" max="12" width="11" style="2" customWidth="1"/>
    <col min="13" max="13" width="9.1640625" style="2" customWidth="1"/>
    <col min="14" max="14" width="11.5" style="2" customWidth="1"/>
    <col min="15" max="15" width="7.1640625" style="2" bestFit="1" customWidth="1"/>
    <col min="16" max="16" width="10.6640625" style="2" customWidth="1"/>
    <col min="17" max="17" width="8.6640625" style="2" customWidth="1"/>
    <col min="18" max="18" width="14.33203125" style="2" customWidth="1"/>
    <col min="19" max="19" width="7.1640625" style="2" bestFit="1" customWidth="1"/>
    <col min="20" max="20" width="6.5" style="2" bestFit="1" customWidth="1"/>
    <col min="21" max="16384" width="8.83203125" style="1"/>
  </cols>
  <sheetData>
    <row r="1" spans="1:20">
      <c r="B1" s="3"/>
      <c r="C1" s="3" t="s">
        <v>313</v>
      </c>
      <c r="G1" s="3" t="s">
        <v>312</v>
      </c>
      <c r="H1" s="3"/>
      <c r="I1" s="3" t="s">
        <v>311</v>
      </c>
      <c r="J1" s="3"/>
      <c r="K1" s="3" t="s">
        <v>310</v>
      </c>
      <c r="L1" s="3"/>
      <c r="M1" s="3" t="s">
        <v>309</v>
      </c>
      <c r="N1" s="3"/>
      <c r="O1" s="3" t="s">
        <v>308</v>
      </c>
      <c r="P1" s="3"/>
      <c r="Q1" s="3" t="s">
        <v>307</v>
      </c>
      <c r="R1" s="3"/>
      <c r="S1" s="3" t="s">
        <v>306</v>
      </c>
      <c r="T1" s="3"/>
    </row>
    <row r="2" spans="1:20">
      <c r="A2" s="3"/>
      <c r="B2" s="3"/>
      <c r="C2" s="10"/>
      <c r="F2" s="10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3" t="s">
        <v>305</v>
      </c>
      <c r="B3" s="3" t="s">
        <v>304</v>
      </c>
      <c r="C3" s="3" t="s">
        <v>301</v>
      </c>
      <c r="D3" s="3" t="s">
        <v>300</v>
      </c>
      <c r="E3" s="3" t="s">
        <v>303</v>
      </c>
      <c r="F3" s="3" t="s">
        <v>302</v>
      </c>
      <c r="G3" s="3" t="s">
        <v>301</v>
      </c>
      <c r="H3" s="3" t="s">
        <v>300</v>
      </c>
      <c r="I3" s="3" t="s">
        <v>301</v>
      </c>
      <c r="J3" s="3" t="s">
        <v>300</v>
      </c>
      <c r="K3" s="3" t="s">
        <v>301</v>
      </c>
      <c r="L3" s="3" t="s">
        <v>300</v>
      </c>
      <c r="M3" s="3" t="s">
        <v>301</v>
      </c>
      <c r="N3" s="3" t="s">
        <v>300</v>
      </c>
      <c r="O3" s="3" t="s">
        <v>301</v>
      </c>
      <c r="P3" s="3" t="s">
        <v>300</v>
      </c>
      <c r="Q3" s="3" t="s">
        <v>301</v>
      </c>
      <c r="R3" s="3" t="s">
        <v>300</v>
      </c>
      <c r="S3" s="3" t="s">
        <v>301</v>
      </c>
      <c r="T3" s="3" t="s">
        <v>300</v>
      </c>
    </row>
    <row r="4" spans="1:20">
      <c r="A4" s="2" t="s">
        <v>299</v>
      </c>
      <c r="B4" s="2" t="s">
        <v>298</v>
      </c>
      <c r="C4" s="6">
        <v>4.1903357648355506</v>
      </c>
      <c r="D4" s="2">
        <v>1</v>
      </c>
      <c r="E4" s="8">
        <v>5.0682865447682197E-2</v>
      </c>
      <c r="F4" s="7">
        <f>(C4-1)*100/($C$4-1)</f>
        <v>100</v>
      </c>
      <c r="G4" s="6">
        <v>3.89744</v>
      </c>
      <c r="H4" s="2">
        <v>3</v>
      </c>
      <c r="I4" s="6">
        <v>4.2695699999999999</v>
      </c>
      <c r="J4" s="2">
        <v>2</v>
      </c>
      <c r="K4" s="6">
        <v>4.0354000000000001</v>
      </c>
      <c r="L4" s="2">
        <v>2</v>
      </c>
      <c r="M4" s="6">
        <v>4.21495</v>
      </c>
      <c r="N4" s="2">
        <v>2</v>
      </c>
      <c r="O4" s="6">
        <v>4.2477099999999997</v>
      </c>
      <c r="P4" s="2">
        <v>1</v>
      </c>
      <c r="Q4" s="6">
        <v>2.6960799999999998</v>
      </c>
      <c r="R4" s="2">
        <v>113</v>
      </c>
      <c r="S4" s="6">
        <v>4.5294100000000004</v>
      </c>
      <c r="T4" s="2">
        <v>1</v>
      </c>
    </row>
    <row r="5" spans="1:20">
      <c r="A5" s="2" t="s">
        <v>297</v>
      </c>
      <c r="B5" s="2" t="s">
        <v>296</v>
      </c>
      <c r="C5" s="6">
        <v>4.1776951488112353</v>
      </c>
      <c r="D5" s="2">
        <v>2</v>
      </c>
      <c r="E5" s="8">
        <v>4.4931931452381293E-2</v>
      </c>
      <c r="F5" s="7">
        <f>(C5-1)*100/($C$4-1)</f>
        <v>99.603784148250398</v>
      </c>
      <c r="G5" s="6">
        <v>3.9922499999999999</v>
      </c>
      <c r="H5" s="2">
        <v>1</v>
      </c>
      <c r="I5" s="6">
        <v>4.2903200000000004</v>
      </c>
      <c r="J5" s="2">
        <v>1</v>
      </c>
      <c r="K5" s="6">
        <v>4.0487799999999998</v>
      </c>
      <c r="L5" s="2">
        <v>1</v>
      </c>
      <c r="M5" s="6">
        <v>4.25</v>
      </c>
      <c r="N5" s="2">
        <v>1</v>
      </c>
      <c r="O5" s="6">
        <v>4.1363599999999998</v>
      </c>
      <c r="P5" s="2">
        <v>4</v>
      </c>
      <c r="Q5" s="6">
        <v>2.6481499999999998</v>
      </c>
      <c r="R5" s="2">
        <v>121</v>
      </c>
      <c r="S5" s="6">
        <v>4.3823499999999997</v>
      </c>
      <c r="T5" s="2">
        <v>5</v>
      </c>
    </row>
    <row r="6" spans="1:20">
      <c r="A6" s="2" t="s">
        <v>295</v>
      </c>
      <c r="B6" s="2" t="s">
        <v>294</v>
      </c>
      <c r="C6" s="6">
        <v>4.0986952364612765</v>
      </c>
      <c r="D6" s="2">
        <v>3</v>
      </c>
      <c r="E6" s="8">
        <v>2.6821656521612003E-2</v>
      </c>
      <c r="F6" s="7">
        <f>(C6-1)*100/($C$4-1)</f>
        <v>97.127558503893155</v>
      </c>
      <c r="G6" s="6">
        <v>3.88279</v>
      </c>
      <c r="H6" s="2">
        <v>4</v>
      </c>
      <c r="I6" s="6">
        <v>4.1913299999999998</v>
      </c>
      <c r="J6" s="2">
        <v>3</v>
      </c>
      <c r="K6" s="6">
        <v>3.90984</v>
      </c>
      <c r="L6" s="2">
        <v>4</v>
      </c>
      <c r="M6" s="6">
        <v>4.2072799999999999</v>
      </c>
      <c r="N6" s="2">
        <v>3</v>
      </c>
      <c r="O6" s="6">
        <v>4.1186400000000001</v>
      </c>
      <c r="P6" s="2">
        <v>5</v>
      </c>
      <c r="Q6" s="6">
        <v>2.3413900000000001</v>
      </c>
      <c r="R6" s="2">
        <v>136</v>
      </c>
      <c r="S6" s="6">
        <v>4.3272700000000004</v>
      </c>
      <c r="T6" s="2">
        <v>8</v>
      </c>
    </row>
    <row r="7" spans="1:20">
      <c r="A7" s="2" t="s">
        <v>293</v>
      </c>
      <c r="B7" s="2" t="s">
        <v>292</v>
      </c>
      <c r="C7" s="6">
        <v>4.0753834485626985</v>
      </c>
      <c r="D7" s="2">
        <v>4</v>
      </c>
      <c r="E7" s="8">
        <v>8.0549767133992298E-2</v>
      </c>
      <c r="F7" s="7">
        <f>(C7-1)*100/($C$4-1)</f>
        <v>96.396858363941604</v>
      </c>
      <c r="G7" s="6">
        <v>3.8461500000000002</v>
      </c>
      <c r="H7" s="2">
        <v>6</v>
      </c>
      <c r="I7" s="6">
        <v>4.1132099999999996</v>
      </c>
      <c r="J7" s="2">
        <v>5</v>
      </c>
      <c r="K7" s="6">
        <v>3.8979599999999999</v>
      </c>
      <c r="L7" s="2">
        <v>5</v>
      </c>
      <c r="M7" s="6">
        <v>4.0612199999999996</v>
      </c>
      <c r="N7" s="2">
        <v>6</v>
      </c>
      <c r="O7" s="6">
        <v>4.1521699999999999</v>
      </c>
      <c r="P7" s="2">
        <v>3</v>
      </c>
      <c r="Q7" s="6">
        <v>2.4375</v>
      </c>
      <c r="R7" s="2">
        <v>129</v>
      </c>
      <c r="S7" s="6">
        <v>4.4318200000000001</v>
      </c>
      <c r="T7" s="2">
        <v>4</v>
      </c>
    </row>
    <row r="8" spans="1:20">
      <c r="A8" s="2" t="s">
        <v>291</v>
      </c>
      <c r="B8" s="2" t="s">
        <v>290</v>
      </c>
      <c r="C8" s="6">
        <v>4.0625736428382346</v>
      </c>
      <c r="D8" s="2">
        <v>5</v>
      </c>
      <c r="E8" s="8">
        <v>0.1062159504167154</v>
      </c>
      <c r="F8" s="7">
        <f>(C8-1)*100/($C$4-1)</f>
        <v>95.99533931802624</v>
      </c>
      <c r="G8" s="6">
        <v>3.8333300000000001</v>
      </c>
      <c r="H8" s="2">
        <v>8</v>
      </c>
      <c r="I8" s="6">
        <v>4.0606099999999996</v>
      </c>
      <c r="J8" s="2">
        <v>8</v>
      </c>
      <c r="K8" s="6">
        <v>3.9666700000000001</v>
      </c>
      <c r="L8" s="2">
        <v>3</v>
      </c>
      <c r="M8" s="6">
        <v>4.1333299999999999</v>
      </c>
      <c r="N8" s="2">
        <v>4</v>
      </c>
      <c r="O8" s="6">
        <v>3.9655200000000002</v>
      </c>
      <c r="P8" s="2">
        <v>13</v>
      </c>
      <c r="Q8" s="6">
        <v>2.2413799999999999</v>
      </c>
      <c r="R8" s="2">
        <v>141</v>
      </c>
      <c r="S8" s="6">
        <v>4.4444400000000002</v>
      </c>
      <c r="T8" s="2">
        <v>3</v>
      </c>
    </row>
    <row r="9" spans="1:20">
      <c r="A9" s="2" t="s">
        <v>289</v>
      </c>
      <c r="B9" s="2" t="s">
        <v>288</v>
      </c>
      <c r="C9" s="6">
        <v>4.0235540985084626</v>
      </c>
      <c r="D9" s="2">
        <v>6</v>
      </c>
      <c r="E9" s="8">
        <v>3.2359418439279225E-2</v>
      </c>
      <c r="F9" s="7">
        <f>(C9-1)*100/($C$4-1)</f>
        <v>94.772284843326361</v>
      </c>
      <c r="G9" s="6">
        <v>3.7864800000000001</v>
      </c>
      <c r="H9" s="2">
        <v>11</v>
      </c>
      <c r="I9" s="6">
        <v>4.1063799999999997</v>
      </c>
      <c r="J9" s="2">
        <v>6</v>
      </c>
      <c r="K9" s="6">
        <v>3.7655699999999999</v>
      </c>
      <c r="L9" s="2">
        <v>10</v>
      </c>
      <c r="M9" s="6">
        <v>4.1198499999999996</v>
      </c>
      <c r="N9" s="2">
        <v>5</v>
      </c>
      <c r="O9" s="6">
        <v>4.0760500000000004</v>
      </c>
      <c r="P9" s="2">
        <v>7</v>
      </c>
      <c r="Q9" s="6">
        <v>2.0206599999999999</v>
      </c>
      <c r="R9" s="2">
        <v>148</v>
      </c>
      <c r="S9" s="6">
        <v>4.3445400000000003</v>
      </c>
      <c r="T9" s="2">
        <v>6</v>
      </c>
    </row>
    <row r="10" spans="1:20">
      <c r="A10" s="2" t="s">
        <v>287</v>
      </c>
      <c r="B10" s="2" t="s">
        <v>286</v>
      </c>
      <c r="C10" s="6">
        <v>4.0161963833461121</v>
      </c>
      <c r="D10" s="2">
        <v>7</v>
      </c>
      <c r="E10" s="8">
        <v>8.102648558188319E-2</v>
      </c>
      <c r="F10" s="7">
        <f>(C10-1)*100/($C$4-1)</f>
        <v>94.541659739741689</v>
      </c>
      <c r="G10" s="6">
        <v>3.8484799999999999</v>
      </c>
      <c r="H10" s="2">
        <v>5</v>
      </c>
      <c r="I10" s="6">
        <v>4.1333299999999999</v>
      </c>
      <c r="J10" s="2">
        <v>4</v>
      </c>
      <c r="K10" s="6">
        <v>3.6666699999999999</v>
      </c>
      <c r="L10" s="2">
        <v>14</v>
      </c>
      <c r="M10" s="6">
        <v>4</v>
      </c>
      <c r="N10" s="2">
        <v>8</v>
      </c>
      <c r="O10" s="6">
        <v>4.0357099999999999</v>
      </c>
      <c r="P10" s="2">
        <v>9</v>
      </c>
      <c r="Q10" s="6">
        <v>2.2592599999999998</v>
      </c>
      <c r="R10" s="2">
        <v>139</v>
      </c>
      <c r="S10" s="6">
        <v>4.4800000000000004</v>
      </c>
      <c r="T10" s="2">
        <v>2</v>
      </c>
    </row>
    <row r="11" spans="1:20">
      <c r="A11" s="2" t="s">
        <v>285</v>
      </c>
      <c r="B11" s="2" t="s">
        <v>284</v>
      </c>
      <c r="C11" s="6">
        <v>4.003520734462537</v>
      </c>
      <c r="D11" s="2">
        <v>8</v>
      </c>
      <c r="E11" s="8">
        <v>4.089679445584856E-2</v>
      </c>
      <c r="F11" s="7">
        <f>(C11-1)*100/($C$4-1)</f>
        <v>94.14434579481815</v>
      </c>
      <c r="G11" s="6">
        <v>3.8430200000000001</v>
      </c>
      <c r="H11" s="2">
        <v>7</v>
      </c>
      <c r="I11" s="6">
        <v>4.05952</v>
      </c>
      <c r="J11" s="2">
        <v>9</v>
      </c>
      <c r="K11" s="6">
        <v>3.7820499999999999</v>
      </c>
      <c r="L11" s="2">
        <v>7</v>
      </c>
      <c r="M11" s="6">
        <v>3.9934599999999998</v>
      </c>
      <c r="N11" s="2">
        <v>9</v>
      </c>
      <c r="O11" s="6">
        <v>4.0612199999999996</v>
      </c>
      <c r="P11" s="2">
        <v>8</v>
      </c>
      <c r="Q11" s="6">
        <v>2.66412</v>
      </c>
      <c r="R11" s="2">
        <v>119</v>
      </c>
      <c r="S11" s="6">
        <v>4.3307700000000002</v>
      </c>
      <c r="T11" s="2">
        <v>7</v>
      </c>
    </row>
    <row r="12" spans="1:20">
      <c r="A12" s="2" t="s">
        <v>283</v>
      </c>
      <c r="B12" s="2" t="s">
        <v>282</v>
      </c>
      <c r="C12" s="6">
        <v>3.9933617484221124</v>
      </c>
      <c r="D12" s="2">
        <v>9</v>
      </c>
      <c r="E12" s="8">
        <v>3.0141366101273687E-2</v>
      </c>
      <c r="F12" s="7">
        <f>(C12-1)*100/($C$4-1)</f>
        <v>93.825915799066635</v>
      </c>
      <c r="G12" s="6">
        <v>3.7389999999999999</v>
      </c>
      <c r="H12" s="2">
        <v>13</v>
      </c>
      <c r="I12" s="6">
        <v>4.0493800000000002</v>
      </c>
      <c r="J12" s="2">
        <v>10</v>
      </c>
      <c r="K12" s="6">
        <v>3.85209</v>
      </c>
      <c r="L12" s="2">
        <v>6</v>
      </c>
      <c r="M12" s="6">
        <v>4.0195400000000001</v>
      </c>
      <c r="N12" s="2">
        <v>7</v>
      </c>
      <c r="O12" s="6">
        <v>4.0999999999999996</v>
      </c>
      <c r="P12" s="2">
        <v>6</v>
      </c>
      <c r="Q12" s="6">
        <v>2.20641</v>
      </c>
      <c r="R12" s="2">
        <v>143</v>
      </c>
      <c r="S12" s="6">
        <v>4.2481499999999999</v>
      </c>
      <c r="T12" s="2">
        <v>11</v>
      </c>
    </row>
    <row r="13" spans="1:20">
      <c r="A13" s="2" t="s">
        <v>281</v>
      </c>
      <c r="B13" s="2" t="s">
        <v>280</v>
      </c>
      <c r="C13" s="6">
        <v>3.921925946374333</v>
      </c>
      <c r="D13" s="2">
        <v>10</v>
      </c>
      <c r="E13" s="8">
        <v>5.2689827356424503E-2</v>
      </c>
      <c r="F13" s="7">
        <f>(C13-1)*100/($C$4-1)</f>
        <v>91.586784644435269</v>
      </c>
      <c r="G13" s="6">
        <v>3.8181799999999999</v>
      </c>
      <c r="H13" s="2">
        <v>9</v>
      </c>
      <c r="I13" s="6">
        <v>3.9489800000000002</v>
      </c>
      <c r="J13" s="2">
        <v>12</v>
      </c>
      <c r="K13" s="6">
        <v>3.77895</v>
      </c>
      <c r="L13" s="2">
        <v>8</v>
      </c>
      <c r="M13" s="6">
        <v>3.8539300000000001</v>
      </c>
      <c r="N13" s="2">
        <v>12</v>
      </c>
      <c r="O13" s="6">
        <v>3.9777800000000001</v>
      </c>
      <c r="P13" s="2">
        <v>11</v>
      </c>
      <c r="Q13" s="6">
        <v>2.8426999999999998</v>
      </c>
      <c r="R13" s="2">
        <v>91</v>
      </c>
      <c r="S13" s="6">
        <v>4.1882400000000004</v>
      </c>
      <c r="T13" s="2">
        <v>13</v>
      </c>
    </row>
    <row r="14" spans="1:20">
      <c r="A14" s="2" t="s">
        <v>279</v>
      </c>
      <c r="B14" s="2" t="s">
        <v>278</v>
      </c>
      <c r="C14" s="6">
        <v>3.9138450335049244</v>
      </c>
      <c r="D14" s="2">
        <v>11</v>
      </c>
      <c r="E14" s="8">
        <v>0.11176572186948402</v>
      </c>
      <c r="F14" s="7">
        <f>(C14-1)*100/($C$4-1)</f>
        <v>91.333491152305768</v>
      </c>
      <c r="G14" s="6">
        <v>3.8181799999999999</v>
      </c>
      <c r="H14" s="2">
        <v>10</v>
      </c>
      <c r="I14" s="6">
        <v>3.71875</v>
      </c>
      <c r="J14" s="2">
        <v>19</v>
      </c>
      <c r="K14" s="6">
        <v>3.7586200000000001</v>
      </c>
      <c r="L14" s="2">
        <v>11</v>
      </c>
      <c r="M14" s="6">
        <v>3.9310299999999998</v>
      </c>
      <c r="N14" s="2">
        <v>11</v>
      </c>
      <c r="O14" s="6">
        <v>3.9615399999999998</v>
      </c>
      <c r="P14" s="2">
        <v>14</v>
      </c>
      <c r="Q14" s="6">
        <v>2.6538499999999998</v>
      </c>
      <c r="R14" s="2">
        <v>120</v>
      </c>
      <c r="S14" s="6">
        <v>4.32</v>
      </c>
      <c r="T14" s="2">
        <v>9</v>
      </c>
    </row>
    <row r="15" spans="1:20">
      <c r="A15" s="2" t="s">
        <v>277</v>
      </c>
      <c r="B15" s="2" t="s">
        <v>276</v>
      </c>
      <c r="C15" s="6">
        <v>3.8937636011172221</v>
      </c>
      <c r="D15" s="2">
        <v>12</v>
      </c>
      <c r="E15" s="8">
        <v>5.2574250449368962E-2</v>
      </c>
      <c r="F15" s="7">
        <f>(C15-1)*100/($C$4-1)</f>
        <v>90.70404541781464</v>
      </c>
      <c r="G15" s="6">
        <v>3.6126100000000001</v>
      </c>
      <c r="H15" s="2">
        <v>16</v>
      </c>
      <c r="I15" s="6">
        <v>4</v>
      </c>
      <c r="J15" s="2">
        <v>11</v>
      </c>
      <c r="K15" s="6">
        <v>3.6509399999999999</v>
      </c>
      <c r="L15" s="2">
        <v>17</v>
      </c>
      <c r="M15" s="6">
        <v>3.9494899999999999</v>
      </c>
      <c r="N15" s="2">
        <v>10</v>
      </c>
      <c r="O15" s="6">
        <v>3.9591799999999999</v>
      </c>
      <c r="P15" s="2">
        <v>15</v>
      </c>
      <c r="Q15" s="6">
        <v>2.6162800000000002</v>
      </c>
      <c r="R15" s="2">
        <v>122</v>
      </c>
      <c r="S15" s="6">
        <v>4.2530099999999997</v>
      </c>
      <c r="T15" s="2">
        <v>10</v>
      </c>
    </row>
    <row r="16" spans="1:20">
      <c r="A16" s="2" t="s">
        <v>275</v>
      </c>
      <c r="B16" s="2" t="s">
        <v>274</v>
      </c>
      <c r="C16" s="6">
        <v>3.8590460375901223</v>
      </c>
      <c r="D16" s="2">
        <v>13</v>
      </c>
      <c r="E16" s="8">
        <v>9.782589465890118E-2</v>
      </c>
      <c r="F16" s="7">
        <f>(C16-1)*100/($C$4-1)</f>
        <v>89.615835082408481</v>
      </c>
      <c r="G16" s="6">
        <v>3.9714299999999998</v>
      </c>
      <c r="H16" s="2">
        <v>2</v>
      </c>
      <c r="I16" s="6">
        <v>3.8235299999999999</v>
      </c>
      <c r="J16" s="2">
        <v>14</v>
      </c>
      <c r="K16" s="6">
        <v>3.6666699999999999</v>
      </c>
      <c r="L16" s="2">
        <v>15</v>
      </c>
      <c r="M16" s="6">
        <v>3.8333300000000001</v>
      </c>
      <c r="N16" s="2">
        <v>15</v>
      </c>
      <c r="O16" s="6">
        <v>3.7586200000000001</v>
      </c>
      <c r="P16" s="2">
        <v>17</v>
      </c>
      <c r="Q16" s="6">
        <v>2.5185200000000001</v>
      </c>
      <c r="R16" s="2">
        <v>128</v>
      </c>
      <c r="S16" s="6">
        <v>4.11111</v>
      </c>
      <c r="T16" s="2">
        <v>19</v>
      </c>
    </row>
    <row r="17" spans="1:20">
      <c r="A17" s="2" t="s">
        <v>273</v>
      </c>
      <c r="B17" s="2" t="s">
        <v>272</v>
      </c>
      <c r="C17" s="6">
        <v>3.8436715006807303</v>
      </c>
      <c r="D17" s="2">
        <v>14</v>
      </c>
      <c r="E17" s="8">
        <v>2.6778298329545525E-2</v>
      </c>
      <c r="F17" s="7">
        <f>(C17-1)*100/($C$4-1)</f>
        <v>89.133925401338146</v>
      </c>
      <c r="G17" s="6">
        <v>3.51919</v>
      </c>
      <c r="H17" s="2">
        <v>19</v>
      </c>
      <c r="I17" s="6">
        <v>4.0711300000000001</v>
      </c>
      <c r="J17" s="2">
        <v>7</v>
      </c>
      <c r="K17" s="6">
        <v>3.5817000000000001</v>
      </c>
      <c r="L17" s="2">
        <v>20</v>
      </c>
      <c r="M17" s="6">
        <v>3.8452899999999999</v>
      </c>
      <c r="N17" s="2">
        <v>14</v>
      </c>
      <c r="O17" s="6">
        <v>4.0091999999999999</v>
      </c>
      <c r="P17" s="2">
        <v>10</v>
      </c>
      <c r="Q17" s="6">
        <v>2.1966000000000001</v>
      </c>
      <c r="R17" s="2">
        <v>144</v>
      </c>
      <c r="S17" s="6">
        <v>4.1144299999999996</v>
      </c>
      <c r="T17" s="2">
        <v>18</v>
      </c>
    </row>
    <row r="18" spans="1:20">
      <c r="A18" s="2" t="s">
        <v>271</v>
      </c>
      <c r="B18" s="2" t="s">
        <v>270</v>
      </c>
      <c r="C18" s="6">
        <v>3.8158038116429807</v>
      </c>
      <c r="D18" s="2">
        <v>15</v>
      </c>
      <c r="E18" s="8">
        <v>0.13186323438536052</v>
      </c>
      <c r="F18" s="7">
        <f>(C18-1)*100/($C$4-1)</f>
        <v>88.260422074669123</v>
      </c>
      <c r="G18" s="6">
        <v>3.6842100000000002</v>
      </c>
      <c r="H18" s="2">
        <v>14</v>
      </c>
      <c r="I18" s="6">
        <v>3.80952</v>
      </c>
      <c r="J18" s="2">
        <v>17</v>
      </c>
      <c r="K18" s="6">
        <v>3.3</v>
      </c>
      <c r="L18" s="2">
        <v>30</v>
      </c>
      <c r="M18" s="6">
        <v>3.85</v>
      </c>
      <c r="N18" s="2">
        <v>13</v>
      </c>
      <c r="O18" s="6">
        <v>4.1666699999999999</v>
      </c>
      <c r="P18" s="2">
        <v>2</v>
      </c>
      <c r="Q18" s="6">
        <v>2.2222200000000001</v>
      </c>
      <c r="R18" s="2">
        <v>142</v>
      </c>
      <c r="S18" s="6">
        <v>4.1764700000000001</v>
      </c>
      <c r="T18" s="2">
        <v>14</v>
      </c>
    </row>
    <row r="19" spans="1:20">
      <c r="A19" s="2" t="s">
        <v>269</v>
      </c>
      <c r="B19" s="2" t="s">
        <v>268</v>
      </c>
      <c r="C19" s="6">
        <v>3.8096719749821935</v>
      </c>
      <c r="D19" s="2">
        <v>16</v>
      </c>
      <c r="E19" s="8">
        <v>8.6027733773029066E-2</v>
      </c>
      <c r="F19" s="7">
        <f>(C19-1)*100/($C$4-1)</f>
        <v>88.068221719823299</v>
      </c>
      <c r="G19" s="6">
        <v>3.7575799999999999</v>
      </c>
      <c r="H19" s="2">
        <v>12</v>
      </c>
      <c r="I19" s="6">
        <v>3.8214299999999999</v>
      </c>
      <c r="J19" s="2">
        <v>16</v>
      </c>
      <c r="K19" s="6">
        <v>3.6206900000000002</v>
      </c>
      <c r="L19" s="2">
        <v>19</v>
      </c>
      <c r="M19" s="6">
        <v>3.7777799999999999</v>
      </c>
      <c r="N19" s="2">
        <v>17</v>
      </c>
      <c r="O19" s="6">
        <v>3.6666699999999999</v>
      </c>
      <c r="P19" s="2">
        <v>20</v>
      </c>
      <c r="Q19" s="6">
        <v>2.08</v>
      </c>
      <c r="R19" s="2">
        <v>147</v>
      </c>
      <c r="S19" s="6">
        <v>4.24</v>
      </c>
      <c r="T19" s="2">
        <v>12</v>
      </c>
    </row>
    <row r="20" spans="1:20">
      <c r="A20" s="2" t="s">
        <v>267</v>
      </c>
      <c r="B20" s="2" t="s">
        <v>266</v>
      </c>
      <c r="C20" s="6">
        <v>3.790339268121476</v>
      </c>
      <c r="D20" s="2">
        <v>17</v>
      </c>
      <c r="E20" s="8">
        <v>9.0064280539334268E-2</v>
      </c>
      <c r="F20" s="7">
        <f>(C20-1)*100/($C$4-1)</f>
        <v>87.462244534794522</v>
      </c>
      <c r="G20" s="6">
        <v>3.5833300000000001</v>
      </c>
      <c r="H20" s="2">
        <v>17</v>
      </c>
      <c r="I20" s="6">
        <v>3.6470600000000002</v>
      </c>
      <c r="J20" s="2">
        <v>20</v>
      </c>
      <c r="K20" s="6">
        <v>3.71875</v>
      </c>
      <c r="L20" s="2">
        <v>12</v>
      </c>
      <c r="M20" s="6">
        <v>3.7575799999999999</v>
      </c>
      <c r="N20" s="2">
        <v>19</v>
      </c>
      <c r="O20" s="6">
        <v>3.96875</v>
      </c>
      <c r="P20" s="2">
        <v>12</v>
      </c>
      <c r="Q20" s="6">
        <v>2.8</v>
      </c>
      <c r="R20" s="2">
        <v>97</v>
      </c>
      <c r="S20" s="6">
        <v>4.0999999999999996</v>
      </c>
      <c r="T20" s="2">
        <v>20</v>
      </c>
    </row>
    <row r="21" spans="1:20">
      <c r="A21" s="2" t="s">
        <v>265</v>
      </c>
      <c r="B21" s="2" t="s">
        <v>264</v>
      </c>
      <c r="C21" s="6">
        <v>3.7618841676528714</v>
      </c>
      <c r="D21" s="2">
        <v>18</v>
      </c>
      <c r="E21" s="8">
        <v>5.3556551733905222E-2</v>
      </c>
      <c r="F21" s="7">
        <f>(C21-1)*100/($C$4-1)</f>
        <v>86.570328994673559</v>
      </c>
      <c r="G21" s="6">
        <v>3.5107900000000001</v>
      </c>
      <c r="H21" s="2">
        <v>21</v>
      </c>
      <c r="I21" s="6">
        <v>3.8235299999999999</v>
      </c>
      <c r="J21" s="2">
        <v>15</v>
      </c>
      <c r="K21" s="6">
        <v>3.6296300000000001</v>
      </c>
      <c r="L21" s="2">
        <v>18</v>
      </c>
      <c r="M21" s="6">
        <v>3.75969</v>
      </c>
      <c r="N21" s="2">
        <v>18</v>
      </c>
      <c r="O21" s="6">
        <v>3.8709699999999998</v>
      </c>
      <c r="P21" s="2">
        <v>16</v>
      </c>
      <c r="Q21" s="6">
        <v>2.3442599999999998</v>
      </c>
      <c r="R21" s="2">
        <v>135</v>
      </c>
      <c r="S21" s="6">
        <v>4.0245899999999999</v>
      </c>
      <c r="T21" s="2">
        <v>23</v>
      </c>
    </row>
    <row r="22" spans="1:20">
      <c r="A22" s="2" t="s">
        <v>263</v>
      </c>
      <c r="B22" s="2" t="s">
        <v>262</v>
      </c>
      <c r="C22" s="6">
        <v>3.7481618781523207</v>
      </c>
      <c r="D22" s="2">
        <v>19</v>
      </c>
      <c r="E22" s="8">
        <v>0.11760602612957084</v>
      </c>
      <c r="F22" s="7">
        <f>(C22-1)*100/($C$4-1)</f>
        <v>86.140208452133805</v>
      </c>
      <c r="G22" s="6">
        <v>3.5652200000000001</v>
      </c>
      <c r="H22" s="2">
        <v>18</v>
      </c>
      <c r="I22" s="6">
        <v>3.6086999999999998</v>
      </c>
      <c r="J22" s="2">
        <v>22</v>
      </c>
      <c r="K22" s="6">
        <v>3.7727300000000001</v>
      </c>
      <c r="L22" s="2">
        <v>9</v>
      </c>
      <c r="M22" s="6">
        <v>3.8181799999999999</v>
      </c>
      <c r="N22" s="2">
        <v>16</v>
      </c>
      <c r="O22" s="6">
        <v>3.6818200000000001</v>
      </c>
      <c r="P22" s="2">
        <v>19</v>
      </c>
      <c r="Q22" s="6">
        <v>2.8571399999999998</v>
      </c>
      <c r="R22" s="2">
        <v>89</v>
      </c>
      <c r="S22" s="6">
        <v>4.0476200000000002</v>
      </c>
      <c r="T22" s="2">
        <v>22</v>
      </c>
    </row>
    <row r="23" spans="1:20">
      <c r="A23" s="2" t="s">
        <v>261</v>
      </c>
      <c r="B23" s="2" t="s">
        <v>260</v>
      </c>
      <c r="C23" s="6">
        <v>3.727580752268191</v>
      </c>
      <c r="D23" s="2">
        <v>20</v>
      </c>
      <c r="E23" s="8">
        <v>7.9001749927630441E-2</v>
      </c>
      <c r="F23" s="7">
        <f>(C23-1)*100/($C$4-1)</f>
        <v>85.495099993300769</v>
      </c>
      <c r="G23" s="6">
        <v>3.51613</v>
      </c>
      <c r="H23" s="2">
        <v>20</v>
      </c>
      <c r="I23" s="6">
        <v>3.8035700000000001</v>
      </c>
      <c r="J23" s="2">
        <v>18</v>
      </c>
      <c r="K23" s="6">
        <v>3.6785700000000001</v>
      </c>
      <c r="L23" s="2">
        <v>13</v>
      </c>
      <c r="M23" s="6">
        <v>3.6666699999999999</v>
      </c>
      <c r="N23" s="2">
        <v>20</v>
      </c>
      <c r="O23" s="6">
        <v>3.6078399999999999</v>
      </c>
      <c r="P23" s="2">
        <v>23</v>
      </c>
      <c r="Q23" s="6">
        <v>2.7959200000000002</v>
      </c>
      <c r="R23" s="2">
        <v>100</v>
      </c>
      <c r="S23" s="6">
        <v>4.12</v>
      </c>
      <c r="T23" s="2">
        <v>17</v>
      </c>
    </row>
    <row r="24" spans="1:20">
      <c r="A24" s="2" t="s">
        <v>259</v>
      </c>
      <c r="B24" s="2" t="s">
        <v>258</v>
      </c>
      <c r="C24" s="6">
        <v>3.640742441338122</v>
      </c>
      <c r="D24" s="2">
        <v>21</v>
      </c>
      <c r="E24" s="8">
        <v>8.9162730657372763E-2</v>
      </c>
      <c r="F24" s="7">
        <f>(C24-1)*100/($C$4-1)</f>
        <v>82.77318238552995</v>
      </c>
      <c r="G24" s="6">
        <v>3.25</v>
      </c>
      <c r="H24" s="2">
        <v>25</v>
      </c>
      <c r="I24" s="6">
        <v>3.62222</v>
      </c>
      <c r="J24" s="2">
        <v>21</v>
      </c>
      <c r="K24" s="6">
        <v>3.6521699999999999</v>
      </c>
      <c r="L24" s="2">
        <v>16</v>
      </c>
      <c r="M24" s="6">
        <v>3.5777800000000002</v>
      </c>
      <c r="N24" s="2">
        <v>23</v>
      </c>
      <c r="O24" s="6">
        <v>3.6046499999999999</v>
      </c>
      <c r="P24" s="2">
        <v>24</v>
      </c>
      <c r="Q24" s="6">
        <v>3.0975600000000001</v>
      </c>
      <c r="R24" s="2">
        <v>43</v>
      </c>
      <c r="S24" s="6">
        <v>4.1749999999999998</v>
      </c>
      <c r="T24" s="2">
        <v>15</v>
      </c>
    </row>
    <row r="25" spans="1:20">
      <c r="A25" s="2" t="s">
        <v>257</v>
      </c>
      <c r="B25" s="2" t="s">
        <v>256</v>
      </c>
      <c r="C25" s="6">
        <v>3.5751432765866644</v>
      </c>
      <c r="D25" s="2">
        <v>22</v>
      </c>
      <c r="E25" s="8">
        <v>5.3449664346022129E-2</v>
      </c>
      <c r="F25" s="7">
        <f>(C25-1)*100/($C$4-1)</f>
        <v>80.716998661092433</v>
      </c>
      <c r="G25" s="6">
        <v>3.1871</v>
      </c>
      <c r="H25" s="2">
        <v>29</v>
      </c>
      <c r="I25" s="6">
        <v>3.5194800000000002</v>
      </c>
      <c r="J25" s="2">
        <v>23</v>
      </c>
      <c r="K25" s="6">
        <v>3.56738</v>
      </c>
      <c r="L25" s="2">
        <v>21</v>
      </c>
      <c r="M25" s="6">
        <v>3.6285699999999999</v>
      </c>
      <c r="N25" s="2">
        <v>21</v>
      </c>
      <c r="O25" s="6">
        <v>3.65693</v>
      </c>
      <c r="P25" s="2">
        <v>21</v>
      </c>
      <c r="Q25" s="6">
        <v>2.3909799999999999</v>
      </c>
      <c r="R25" s="2">
        <v>132</v>
      </c>
      <c r="S25" s="6">
        <v>3.9296899999999999</v>
      </c>
      <c r="T25" s="2">
        <v>27</v>
      </c>
    </row>
    <row r="26" spans="1:20">
      <c r="A26" s="2" t="s">
        <v>255</v>
      </c>
      <c r="B26" s="2" t="s">
        <v>254</v>
      </c>
      <c r="C26" s="6">
        <v>3.5368727293564297</v>
      </c>
      <c r="D26" s="2">
        <v>23</v>
      </c>
      <c r="E26" s="8">
        <v>0.30333888525553343</v>
      </c>
      <c r="F26" s="7">
        <f>(C26-1)*100/($C$4-1)</f>
        <v>79.517421248205068</v>
      </c>
      <c r="G26" s="6">
        <v>3.6666699999999999</v>
      </c>
      <c r="H26" s="2">
        <v>15</v>
      </c>
      <c r="I26" s="6">
        <v>3.8571399999999998</v>
      </c>
      <c r="J26" s="2">
        <v>13</v>
      </c>
      <c r="K26" s="6">
        <v>3</v>
      </c>
      <c r="L26" s="2">
        <v>45</v>
      </c>
      <c r="M26" s="6">
        <v>3.2222200000000001</v>
      </c>
      <c r="N26" s="2">
        <v>33</v>
      </c>
      <c r="O26" s="6">
        <v>3.5555599999999998</v>
      </c>
      <c r="P26" s="2">
        <v>26</v>
      </c>
      <c r="Q26" s="6">
        <v>2.875</v>
      </c>
      <c r="R26" s="2">
        <v>86</v>
      </c>
      <c r="S26" s="6">
        <v>4</v>
      </c>
      <c r="T26" s="2">
        <v>25</v>
      </c>
    </row>
    <row r="27" spans="1:20">
      <c r="A27" s="2" t="s">
        <v>253</v>
      </c>
      <c r="B27" s="2" t="s">
        <v>252</v>
      </c>
      <c r="C27" s="6">
        <v>3.5335888740527293</v>
      </c>
      <c r="D27" s="2">
        <v>24</v>
      </c>
      <c r="E27" s="8">
        <v>9.5856134667980167E-2</v>
      </c>
      <c r="F27" s="7">
        <f>(C27-1)*100/($C$4-1)</f>
        <v>79.414489909758004</v>
      </c>
      <c r="G27" s="6">
        <v>3.2222200000000001</v>
      </c>
      <c r="H27" s="2">
        <v>28</v>
      </c>
      <c r="I27" s="6">
        <v>3.4242400000000002</v>
      </c>
      <c r="J27" s="2">
        <v>26</v>
      </c>
      <c r="K27" s="6">
        <v>3.5555599999999998</v>
      </c>
      <c r="L27" s="2">
        <v>22</v>
      </c>
      <c r="M27" s="6">
        <v>3.5428600000000001</v>
      </c>
      <c r="N27" s="2">
        <v>25</v>
      </c>
      <c r="O27" s="6">
        <v>3.7058800000000001</v>
      </c>
      <c r="P27" s="2">
        <v>18</v>
      </c>
      <c r="Q27" s="6">
        <v>2.6128999999999998</v>
      </c>
      <c r="R27" s="2">
        <v>124</v>
      </c>
      <c r="S27" s="6">
        <v>3.78125</v>
      </c>
      <c r="T27" s="2">
        <v>31</v>
      </c>
    </row>
    <row r="28" spans="1:20">
      <c r="A28" s="2" t="s">
        <v>251</v>
      </c>
      <c r="B28" s="9" t="s">
        <v>250</v>
      </c>
      <c r="C28" s="6">
        <v>3.5200737944096652</v>
      </c>
      <c r="D28" s="2">
        <v>25</v>
      </c>
      <c r="E28" s="8">
        <v>6.6941256731100005E-2</v>
      </c>
      <c r="F28" s="7">
        <f>(C28-1)*100/($C$4-1)</f>
        <v>78.990864290410045</v>
      </c>
      <c r="G28" s="6">
        <v>3.2238799999999999</v>
      </c>
      <c r="H28" s="2">
        <v>27</v>
      </c>
      <c r="I28" s="6">
        <v>3.4444400000000002</v>
      </c>
      <c r="J28" s="2">
        <v>25</v>
      </c>
      <c r="K28" s="6">
        <v>3.4426199999999998</v>
      </c>
      <c r="L28" s="2">
        <v>24</v>
      </c>
      <c r="M28" s="6">
        <v>3.6271200000000001</v>
      </c>
      <c r="N28" s="2">
        <v>22</v>
      </c>
      <c r="O28" s="6">
        <v>3.55932</v>
      </c>
      <c r="P28" s="2">
        <v>25</v>
      </c>
      <c r="Q28" s="6">
        <v>2.7272699999999999</v>
      </c>
      <c r="R28" s="2">
        <v>110</v>
      </c>
      <c r="S28" s="6">
        <v>3.8571399999999998</v>
      </c>
      <c r="T28" s="2">
        <v>30</v>
      </c>
    </row>
    <row r="29" spans="1:20">
      <c r="A29" s="2" t="s">
        <v>249</v>
      </c>
      <c r="B29" s="2" t="s">
        <v>248</v>
      </c>
      <c r="C29" s="6">
        <v>3.5189092913049462</v>
      </c>
      <c r="D29" s="2">
        <v>26</v>
      </c>
      <c r="E29" s="8">
        <v>7.8049113393098085E-2</v>
      </c>
      <c r="F29" s="7">
        <f>(C29-1)*100/($C$4-1)</f>
        <v>78.954363332813216</v>
      </c>
      <c r="G29" s="6">
        <v>3.1666699999999999</v>
      </c>
      <c r="H29" s="2">
        <v>30</v>
      </c>
      <c r="I29" s="6">
        <v>3.51064</v>
      </c>
      <c r="J29" s="2">
        <v>24</v>
      </c>
      <c r="K29" s="6">
        <v>3.45</v>
      </c>
      <c r="L29" s="2">
        <v>23</v>
      </c>
      <c r="M29" s="6">
        <v>3.55</v>
      </c>
      <c r="N29" s="2">
        <v>24</v>
      </c>
      <c r="O29" s="6">
        <v>3.625</v>
      </c>
      <c r="P29" s="2">
        <v>22</v>
      </c>
      <c r="Q29" s="6">
        <v>2.75</v>
      </c>
      <c r="R29" s="2">
        <v>107</v>
      </c>
      <c r="S29" s="6">
        <v>3.8571399999999998</v>
      </c>
      <c r="T29" s="2">
        <v>29</v>
      </c>
    </row>
    <row r="30" spans="1:20">
      <c r="A30" s="2" t="s">
        <v>247</v>
      </c>
      <c r="B30" s="2" t="s">
        <v>246</v>
      </c>
      <c r="C30" s="6">
        <v>3.4802335578265207</v>
      </c>
      <c r="D30" s="2">
        <v>27</v>
      </c>
      <c r="E30" s="8">
        <v>7.2266729459802309E-2</v>
      </c>
      <c r="F30" s="7">
        <f>(C30-1)*100/($C$4-1)</f>
        <v>77.742085493448585</v>
      </c>
      <c r="G30" s="6">
        <v>3.3555600000000001</v>
      </c>
      <c r="H30" s="2">
        <v>23</v>
      </c>
      <c r="I30" s="6">
        <v>3.32558</v>
      </c>
      <c r="J30" s="2">
        <v>28</v>
      </c>
      <c r="K30" s="6">
        <v>3.3636400000000002</v>
      </c>
      <c r="L30" s="2">
        <v>26</v>
      </c>
      <c r="M30" s="6">
        <v>3.40476</v>
      </c>
      <c r="N30" s="2">
        <v>26</v>
      </c>
      <c r="O30" s="6">
        <v>3.5116299999999998</v>
      </c>
      <c r="P30" s="2">
        <v>28</v>
      </c>
      <c r="Q30" s="6">
        <v>3.1282100000000002</v>
      </c>
      <c r="R30" s="2">
        <v>37</v>
      </c>
      <c r="S30" s="6">
        <v>3.9473699999999998</v>
      </c>
      <c r="T30" s="2">
        <v>26</v>
      </c>
    </row>
    <row r="31" spans="1:20">
      <c r="A31" s="2" t="s">
        <v>245</v>
      </c>
      <c r="B31" s="2" t="s">
        <v>244</v>
      </c>
      <c r="C31" s="6">
        <v>3.3806068954036279</v>
      </c>
      <c r="D31" s="2">
        <v>28</v>
      </c>
      <c r="E31" s="8">
        <v>0.11446938115192172</v>
      </c>
      <c r="F31" s="7">
        <f>(C31-1)*100/($C$4-1)</f>
        <v>74.619321315427101</v>
      </c>
      <c r="G31" s="6">
        <v>3.24</v>
      </c>
      <c r="H31" s="2">
        <v>26</v>
      </c>
      <c r="I31" s="6">
        <v>3.16</v>
      </c>
      <c r="J31" s="2">
        <v>32</v>
      </c>
      <c r="K31" s="6">
        <v>3.2272699999999999</v>
      </c>
      <c r="L31" s="2">
        <v>33</v>
      </c>
      <c r="M31" s="6">
        <v>3.19048</v>
      </c>
      <c r="N31" s="2">
        <v>34</v>
      </c>
      <c r="O31" s="6">
        <v>3.4444400000000002</v>
      </c>
      <c r="P31" s="2">
        <v>30</v>
      </c>
      <c r="Q31" s="6">
        <v>2.7777799999999999</v>
      </c>
      <c r="R31" s="2">
        <v>102</v>
      </c>
      <c r="S31" s="6">
        <v>4.0588199999999999</v>
      </c>
      <c r="T31" s="2">
        <v>21</v>
      </c>
    </row>
    <row r="32" spans="1:20">
      <c r="A32" s="2" t="s">
        <v>243</v>
      </c>
      <c r="B32" s="2" t="s">
        <v>242</v>
      </c>
      <c r="C32" s="6">
        <v>3.3579517699367689</v>
      </c>
      <c r="D32" s="2">
        <v>29</v>
      </c>
      <c r="E32" s="8">
        <v>0.1499477726871658</v>
      </c>
      <c r="F32" s="7">
        <f>(C32-1)*100/($C$4-1)</f>
        <v>73.909204038224871</v>
      </c>
      <c r="G32" s="6">
        <v>3.0588199999999999</v>
      </c>
      <c r="H32" s="2">
        <v>31</v>
      </c>
      <c r="I32" s="6">
        <v>3.05</v>
      </c>
      <c r="J32" s="2">
        <v>35</v>
      </c>
      <c r="K32" s="6">
        <v>3.11111</v>
      </c>
      <c r="L32" s="2">
        <v>37</v>
      </c>
      <c r="M32" s="6">
        <v>3.3333300000000001</v>
      </c>
      <c r="N32" s="2">
        <v>28</v>
      </c>
      <c r="O32" s="6">
        <v>3.5294099999999999</v>
      </c>
      <c r="P32" s="2">
        <v>27</v>
      </c>
      <c r="Q32" s="6">
        <v>2.8666700000000001</v>
      </c>
      <c r="R32" s="2">
        <v>88</v>
      </c>
      <c r="S32" s="6">
        <v>4.125</v>
      </c>
      <c r="T32" s="2">
        <v>16</v>
      </c>
    </row>
    <row r="33" spans="1:20">
      <c r="A33" s="2" t="s">
        <v>241</v>
      </c>
      <c r="B33" s="2" t="s">
        <v>240</v>
      </c>
      <c r="C33" s="6">
        <v>3.3219350033189561</v>
      </c>
      <c r="D33" s="2">
        <v>30</v>
      </c>
      <c r="E33" s="8">
        <v>3.5807076715749044E-2</v>
      </c>
      <c r="F33" s="7">
        <f>(C33-1)*100/($C$4-1)</f>
        <v>72.780270619529688</v>
      </c>
      <c r="G33" s="6">
        <v>2.9929600000000001</v>
      </c>
      <c r="H33" s="2">
        <v>35</v>
      </c>
      <c r="I33" s="6">
        <v>3.2028500000000002</v>
      </c>
      <c r="J33" s="2">
        <v>30</v>
      </c>
      <c r="K33" s="6">
        <v>3.3127300000000002</v>
      </c>
      <c r="L33" s="2">
        <v>28</v>
      </c>
      <c r="M33" s="6">
        <v>3.4</v>
      </c>
      <c r="N33" s="2">
        <v>27</v>
      </c>
      <c r="O33" s="6">
        <v>3.37453</v>
      </c>
      <c r="P33" s="2">
        <v>31</v>
      </c>
      <c r="Q33" s="6">
        <v>2.9718900000000001</v>
      </c>
      <c r="R33" s="2">
        <v>72</v>
      </c>
      <c r="S33" s="6">
        <v>3.6772900000000002</v>
      </c>
      <c r="T33" s="2">
        <v>36</v>
      </c>
    </row>
    <row r="34" spans="1:20">
      <c r="A34" s="2" t="s">
        <v>239</v>
      </c>
      <c r="B34" s="2" t="s">
        <v>238</v>
      </c>
      <c r="C34" s="6">
        <v>3.3114441556194909</v>
      </c>
      <c r="D34" s="2">
        <v>31</v>
      </c>
      <c r="E34" s="8">
        <v>0.10106560217544661</v>
      </c>
      <c r="F34" s="7">
        <f>(C34-1)*100/($C$4-1)</f>
        <v>72.45143853185111</v>
      </c>
      <c r="G34" s="6">
        <v>3.0263200000000001</v>
      </c>
      <c r="H34" s="2">
        <v>32</v>
      </c>
      <c r="I34" s="6">
        <v>3.1621600000000001</v>
      </c>
      <c r="J34" s="2">
        <v>31</v>
      </c>
      <c r="K34" s="6">
        <v>3.2432400000000001</v>
      </c>
      <c r="L34" s="2">
        <v>32</v>
      </c>
      <c r="M34" s="6">
        <v>3.3055599999999998</v>
      </c>
      <c r="N34" s="2">
        <v>29</v>
      </c>
      <c r="O34" s="6">
        <v>3.25</v>
      </c>
      <c r="P34" s="2">
        <v>36</v>
      </c>
      <c r="Q34" s="6">
        <v>3.2058800000000001</v>
      </c>
      <c r="R34" s="2">
        <v>28</v>
      </c>
      <c r="S34" s="6">
        <v>3.9117600000000001</v>
      </c>
      <c r="T34" s="2">
        <v>28</v>
      </c>
    </row>
    <row r="35" spans="1:20">
      <c r="A35" s="2" t="s">
        <v>237</v>
      </c>
      <c r="B35" s="2" t="s">
        <v>236</v>
      </c>
      <c r="C35" s="6">
        <v>3.250369661163679</v>
      </c>
      <c r="D35" s="2">
        <v>32</v>
      </c>
      <c r="E35" s="8">
        <v>7.5982019816851987E-2</v>
      </c>
      <c r="F35" s="7">
        <f>(C35-1)*100/($C$4-1)</f>
        <v>70.537079073859701</v>
      </c>
      <c r="G35" s="6">
        <v>3.3207499999999999</v>
      </c>
      <c r="H35" s="2">
        <v>24</v>
      </c>
      <c r="I35" s="6">
        <v>3.0566</v>
      </c>
      <c r="J35" s="2">
        <v>34</v>
      </c>
      <c r="K35" s="6">
        <v>3.2115399999999998</v>
      </c>
      <c r="L35" s="2">
        <v>34</v>
      </c>
      <c r="M35" s="6">
        <v>3.1875</v>
      </c>
      <c r="N35" s="2">
        <v>35</v>
      </c>
      <c r="O35" s="6">
        <v>3.17021</v>
      </c>
      <c r="P35" s="2">
        <v>37</v>
      </c>
      <c r="Q35" s="6">
        <v>2.6749999999999998</v>
      </c>
      <c r="R35" s="2">
        <v>115</v>
      </c>
      <c r="S35" s="6">
        <v>3.5476200000000002</v>
      </c>
      <c r="T35" s="2">
        <v>44</v>
      </c>
    </row>
    <row r="36" spans="1:20">
      <c r="A36" s="2" t="s">
        <v>235</v>
      </c>
      <c r="B36" s="2" t="s">
        <v>234</v>
      </c>
      <c r="C36" s="6">
        <v>3.2058043337412125</v>
      </c>
      <c r="D36" s="2">
        <v>33</v>
      </c>
      <c r="E36" s="8">
        <v>0.17235023415362613</v>
      </c>
      <c r="F36" s="7">
        <f>(C36-1)*100/($C$4-1)</f>
        <v>69.140193896014992</v>
      </c>
      <c r="G36" s="6">
        <v>2.73333</v>
      </c>
      <c r="H36" s="2">
        <v>43</v>
      </c>
      <c r="I36" s="6">
        <v>3</v>
      </c>
      <c r="J36" s="2">
        <v>37</v>
      </c>
      <c r="K36" s="6">
        <v>3.26667</v>
      </c>
      <c r="L36" s="2">
        <v>31</v>
      </c>
      <c r="M36" s="6">
        <v>3.2307700000000001</v>
      </c>
      <c r="N36" s="2">
        <v>32</v>
      </c>
      <c r="O36" s="6">
        <v>3.4615399999999998</v>
      </c>
      <c r="P36" s="2">
        <v>29</v>
      </c>
      <c r="Q36" s="6">
        <v>2.1666699999999999</v>
      </c>
      <c r="R36" s="2">
        <v>145</v>
      </c>
      <c r="S36" s="6">
        <v>3.5833300000000001</v>
      </c>
      <c r="T36" s="2">
        <v>41</v>
      </c>
    </row>
    <row r="37" spans="1:20">
      <c r="A37" s="2" t="s">
        <v>233</v>
      </c>
      <c r="B37" s="2" t="s">
        <v>232</v>
      </c>
      <c r="C37" s="6">
        <v>3.1545577783844405</v>
      </c>
      <c r="D37" s="2">
        <v>34</v>
      </c>
      <c r="E37" s="8">
        <v>0.13199013020300671</v>
      </c>
      <c r="F37" s="7">
        <f>(C37-1)*100/($C$4-1)</f>
        <v>67.533887878898526</v>
      </c>
      <c r="G37" s="6">
        <v>3</v>
      </c>
      <c r="H37" s="2">
        <v>33</v>
      </c>
      <c r="I37" s="6">
        <v>2.9375</v>
      </c>
      <c r="J37" s="2">
        <v>39</v>
      </c>
      <c r="K37" s="6">
        <v>3.0714299999999999</v>
      </c>
      <c r="L37" s="2">
        <v>41</v>
      </c>
      <c r="M37" s="6">
        <v>3.2857099999999999</v>
      </c>
      <c r="N37" s="2">
        <v>30</v>
      </c>
      <c r="O37" s="6">
        <v>3.26667</v>
      </c>
      <c r="P37" s="2">
        <v>34</v>
      </c>
      <c r="Q37" s="6">
        <v>2.7142900000000001</v>
      </c>
      <c r="R37" s="2">
        <v>112</v>
      </c>
      <c r="S37" s="6">
        <v>3.38462</v>
      </c>
      <c r="T37" s="2">
        <v>52</v>
      </c>
    </row>
    <row r="38" spans="1:20">
      <c r="A38" s="2" t="s">
        <v>231</v>
      </c>
      <c r="B38" s="2" t="s">
        <v>230</v>
      </c>
      <c r="C38" s="6">
        <v>3.1541737747953378</v>
      </c>
      <c r="D38" s="2">
        <v>35</v>
      </c>
      <c r="E38" s="8">
        <v>0.10903322242477437</v>
      </c>
      <c r="F38" s="7">
        <f>(C38-1)*100/($C$4-1)</f>
        <v>67.521851415735767</v>
      </c>
      <c r="G38" s="6">
        <v>3</v>
      </c>
      <c r="H38" s="2">
        <v>34</v>
      </c>
      <c r="I38" s="6">
        <v>3.1176499999999998</v>
      </c>
      <c r="J38" s="2">
        <v>33</v>
      </c>
      <c r="K38" s="6">
        <v>3.0666699999999998</v>
      </c>
      <c r="L38" s="2">
        <v>42</v>
      </c>
      <c r="M38" s="6">
        <v>3.0714299999999999</v>
      </c>
      <c r="N38" s="2">
        <v>37</v>
      </c>
      <c r="O38" s="6">
        <v>3</v>
      </c>
      <c r="P38" s="2">
        <v>44</v>
      </c>
      <c r="Q38" s="6">
        <v>3</v>
      </c>
      <c r="R38" s="2">
        <v>57</v>
      </c>
      <c r="S38" s="6">
        <v>3.69231</v>
      </c>
      <c r="T38" s="2">
        <v>34</v>
      </c>
    </row>
    <row r="39" spans="1:20">
      <c r="A39" s="2" t="s">
        <v>229</v>
      </c>
      <c r="B39" s="2" t="s">
        <v>228</v>
      </c>
      <c r="C39" s="6">
        <v>3.1522651628970246</v>
      </c>
      <c r="D39" s="2">
        <v>36</v>
      </c>
      <c r="E39" s="8">
        <v>0.18154291723388793</v>
      </c>
      <c r="F39" s="7">
        <f>(C39-1)*100/($C$4-1)</f>
        <v>67.462026618629764</v>
      </c>
      <c r="G39" s="6">
        <v>3.4</v>
      </c>
      <c r="H39" s="2">
        <v>22</v>
      </c>
      <c r="I39" s="6">
        <v>3.4</v>
      </c>
      <c r="J39" s="2">
        <v>27</v>
      </c>
      <c r="K39" s="6">
        <v>3.3333300000000001</v>
      </c>
      <c r="L39" s="2">
        <v>27</v>
      </c>
      <c r="M39" s="6">
        <v>2.75</v>
      </c>
      <c r="N39" s="2">
        <v>59</v>
      </c>
      <c r="O39" s="6">
        <v>3</v>
      </c>
      <c r="P39" s="2">
        <v>47</v>
      </c>
      <c r="Q39" s="6">
        <v>2.25</v>
      </c>
      <c r="R39" s="2">
        <v>140</v>
      </c>
      <c r="S39" s="6">
        <v>3</v>
      </c>
      <c r="T39" s="2">
        <v>84</v>
      </c>
    </row>
    <row r="40" spans="1:20">
      <c r="A40" s="2" t="s">
        <v>227</v>
      </c>
      <c r="B40" s="2" t="s">
        <v>226</v>
      </c>
      <c r="C40" s="6">
        <v>3.1412974337955339</v>
      </c>
      <c r="D40" s="2">
        <v>37</v>
      </c>
      <c r="E40" s="8">
        <v>0.17580252828552215</v>
      </c>
      <c r="F40" s="7">
        <f>(C40-1)*100/($C$4-1)</f>
        <v>67.118246844024881</v>
      </c>
      <c r="G40" s="6">
        <v>2.7857099999999999</v>
      </c>
      <c r="H40" s="2">
        <v>40</v>
      </c>
      <c r="I40" s="6">
        <v>3.2222200000000001</v>
      </c>
      <c r="J40" s="2">
        <v>29</v>
      </c>
      <c r="K40" s="6">
        <v>3.1428600000000002</v>
      </c>
      <c r="L40" s="2">
        <v>36</v>
      </c>
      <c r="M40" s="6">
        <v>3.09091</v>
      </c>
      <c r="N40" s="2">
        <v>36</v>
      </c>
      <c r="O40" s="6">
        <v>2.90909</v>
      </c>
      <c r="P40" s="2">
        <v>52</v>
      </c>
      <c r="Q40" s="6">
        <v>3.1818200000000001</v>
      </c>
      <c r="R40" s="2">
        <v>32</v>
      </c>
      <c r="S40" s="6">
        <v>3.7272699999999999</v>
      </c>
      <c r="T40" s="2">
        <v>33</v>
      </c>
    </row>
    <row r="41" spans="1:20">
      <c r="A41" s="2" t="s">
        <v>225</v>
      </c>
      <c r="B41" s="2" t="s">
        <v>224</v>
      </c>
      <c r="C41" s="6">
        <v>3.1346259824731146</v>
      </c>
      <c r="D41" s="2">
        <v>38</v>
      </c>
      <c r="E41" s="8">
        <v>0.15150900246969834</v>
      </c>
      <c r="F41" s="7">
        <f>(C41-1)*100/($C$4-1)</f>
        <v>66.909132449359802</v>
      </c>
      <c r="G41" s="6">
        <v>2.95</v>
      </c>
      <c r="H41" s="2">
        <v>36</v>
      </c>
      <c r="I41" s="6">
        <v>3</v>
      </c>
      <c r="J41" s="2">
        <v>36</v>
      </c>
      <c r="K41" s="6">
        <v>3.0625</v>
      </c>
      <c r="L41" s="2">
        <v>43</v>
      </c>
      <c r="M41" s="6">
        <v>3</v>
      </c>
      <c r="N41" s="2">
        <v>42</v>
      </c>
      <c r="O41" s="6">
        <v>3.26667</v>
      </c>
      <c r="P41" s="2">
        <v>35</v>
      </c>
      <c r="Q41" s="6">
        <v>3.4</v>
      </c>
      <c r="R41" s="2">
        <v>10</v>
      </c>
      <c r="S41" s="6">
        <v>3.5625</v>
      </c>
      <c r="T41" s="2">
        <v>42</v>
      </c>
    </row>
    <row r="42" spans="1:20">
      <c r="A42" s="2" t="s">
        <v>223</v>
      </c>
      <c r="B42" s="2" t="s">
        <v>222</v>
      </c>
      <c r="C42" s="6">
        <v>3.0709137038157777</v>
      </c>
      <c r="D42" s="2">
        <v>39</v>
      </c>
      <c r="E42" s="8">
        <v>7.9543036543231221E-2</v>
      </c>
      <c r="F42" s="7">
        <f>(C42-1)*100/($C$4-1)</f>
        <v>64.912092534013425</v>
      </c>
      <c r="G42" s="6">
        <v>2.6911800000000001</v>
      </c>
      <c r="H42" s="2">
        <v>47</v>
      </c>
      <c r="I42" s="6">
        <v>2.90476</v>
      </c>
      <c r="J42" s="2">
        <v>42</v>
      </c>
      <c r="K42" s="6">
        <v>3.0781299999999998</v>
      </c>
      <c r="L42" s="2">
        <v>40</v>
      </c>
      <c r="M42" s="6">
        <v>3.2656299999999998</v>
      </c>
      <c r="N42" s="2">
        <v>31</v>
      </c>
      <c r="O42" s="6">
        <v>3.0333299999999999</v>
      </c>
      <c r="P42" s="2">
        <v>42</v>
      </c>
      <c r="Q42" s="6">
        <v>3.0833300000000001</v>
      </c>
      <c r="R42" s="2">
        <v>46</v>
      </c>
      <c r="S42" s="6">
        <v>3.47458</v>
      </c>
      <c r="T42" s="2">
        <v>47</v>
      </c>
    </row>
    <row r="43" spans="1:20">
      <c r="A43" s="2" t="s">
        <v>221</v>
      </c>
      <c r="B43" s="2" t="s">
        <v>220</v>
      </c>
      <c r="C43" s="6">
        <v>3.038002640907286</v>
      </c>
      <c r="D43" s="2">
        <v>40</v>
      </c>
      <c r="E43" s="8">
        <v>0.11154241148849318</v>
      </c>
      <c r="F43" s="7">
        <f>(C43-1)*100/($C$4-1)</f>
        <v>63.88050635204339</v>
      </c>
      <c r="G43" s="6">
        <v>2.88462</v>
      </c>
      <c r="H43" s="2">
        <v>38</v>
      </c>
      <c r="I43" s="6">
        <v>2.69231</v>
      </c>
      <c r="J43" s="2">
        <v>51</v>
      </c>
      <c r="K43" s="6">
        <v>2.9230800000000001</v>
      </c>
      <c r="L43" s="2">
        <v>52</v>
      </c>
      <c r="M43" s="6">
        <v>3.04</v>
      </c>
      <c r="N43" s="2">
        <v>38</v>
      </c>
      <c r="O43" s="6">
        <v>3.12</v>
      </c>
      <c r="P43" s="2">
        <v>40</v>
      </c>
      <c r="Q43" s="6">
        <v>3.2272699999999999</v>
      </c>
      <c r="R43" s="2">
        <v>23</v>
      </c>
      <c r="S43" s="6">
        <v>3.59091</v>
      </c>
      <c r="T43" s="2">
        <v>40</v>
      </c>
    </row>
    <row r="44" spans="1:20">
      <c r="A44" s="2" t="s">
        <v>219</v>
      </c>
      <c r="B44" s="2" t="s">
        <v>218</v>
      </c>
      <c r="C44" s="6">
        <v>3.0190216205019351</v>
      </c>
      <c r="D44" s="2">
        <v>41</v>
      </c>
      <c r="E44" s="8">
        <v>6.4381263936707039E-2</v>
      </c>
      <c r="F44" s="7">
        <f>(C44-1)*100/($C$4-1)</f>
        <v>63.285552660505246</v>
      </c>
      <c r="G44" s="6">
        <v>2.7205900000000001</v>
      </c>
      <c r="H44" s="2">
        <v>45</v>
      </c>
      <c r="I44" s="6">
        <v>2.9538500000000001</v>
      </c>
      <c r="J44" s="2">
        <v>38</v>
      </c>
      <c r="K44" s="6">
        <v>2.9321999999999999</v>
      </c>
      <c r="L44" s="2">
        <v>50</v>
      </c>
      <c r="M44" s="6">
        <v>2.8793099999999998</v>
      </c>
      <c r="N44" s="2">
        <v>51</v>
      </c>
      <c r="O44" s="6">
        <v>3.0178600000000002</v>
      </c>
      <c r="P44" s="2">
        <v>43</v>
      </c>
      <c r="Q44" s="6">
        <v>2.7636400000000001</v>
      </c>
      <c r="R44" s="2">
        <v>106</v>
      </c>
      <c r="S44" s="6">
        <v>3.65455</v>
      </c>
      <c r="T44" s="2">
        <v>39</v>
      </c>
    </row>
    <row r="45" spans="1:20">
      <c r="A45" s="2" t="s">
        <v>217</v>
      </c>
      <c r="B45" s="2" t="s">
        <v>216</v>
      </c>
      <c r="C45" s="6">
        <v>3.0160254691602546</v>
      </c>
      <c r="D45" s="2">
        <v>42</v>
      </c>
      <c r="E45" s="8">
        <v>0.16406303172452558</v>
      </c>
      <c r="F45" s="7">
        <f>(C45-1)*100/($C$4-1)</f>
        <v>63.191639305845065</v>
      </c>
      <c r="G45" s="6">
        <v>2.5333299999999999</v>
      </c>
      <c r="H45" s="2">
        <v>58</v>
      </c>
      <c r="I45" s="6">
        <v>2.5625</v>
      </c>
      <c r="J45" s="2">
        <v>58</v>
      </c>
      <c r="K45" s="6">
        <v>3.3125</v>
      </c>
      <c r="L45" s="2">
        <v>29</v>
      </c>
      <c r="M45" s="6">
        <v>2.9411800000000001</v>
      </c>
      <c r="N45" s="2">
        <v>48</v>
      </c>
      <c r="O45" s="6">
        <v>3.0588199999999999</v>
      </c>
      <c r="P45" s="2">
        <v>41</v>
      </c>
      <c r="Q45" s="6">
        <v>2.9411800000000001</v>
      </c>
      <c r="R45" s="2">
        <v>73</v>
      </c>
      <c r="S45" s="6">
        <v>3.6875</v>
      </c>
      <c r="T45" s="2">
        <v>35</v>
      </c>
    </row>
    <row r="46" spans="1:20">
      <c r="A46" s="2" t="s">
        <v>215</v>
      </c>
      <c r="B46" s="2" t="s">
        <v>214</v>
      </c>
      <c r="C46" s="6">
        <v>3.0096954660079764</v>
      </c>
      <c r="D46" s="2">
        <v>43</v>
      </c>
      <c r="E46" s="8">
        <v>0.13246011431534377</v>
      </c>
      <c r="F46" s="7">
        <f>(C46-1)*100/($C$4-1)</f>
        <v>62.993227489068651</v>
      </c>
      <c r="G46" s="6">
        <v>2.7272699999999999</v>
      </c>
      <c r="H46" s="2">
        <v>44</v>
      </c>
      <c r="I46" s="6">
        <v>2.8333300000000001</v>
      </c>
      <c r="J46" s="2">
        <v>45</v>
      </c>
      <c r="K46" s="6">
        <v>3.0476200000000002</v>
      </c>
      <c r="L46" s="2">
        <v>44</v>
      </c>
      <c r="M46" s="6">
        <v>2.90476</v>
      </c>
      <c r="N46" s="2">
        <v>50</v>
      </c>
      <c r="O46" s="6">
        <v>3.3</v>
      </c>
      <c r="P46" s="2">
        <v>33</v>
      </c>
      <c r="Q46" s="6">
        <v>2.8421099999999999</v>
      </c>
      <c r="R46" s="2">
        <v>92</v>
      </c>
      <c r="S46" s="6">
        <v>3.2777799999999999</v>
      </c>
      <c r="T46" s="2">
        <v>58</v>
      </c>
    </row>
    <row r="47" spans="1:20">
      <c r="A47" s="2" t="s">
        <v>213</v>
      </c>
      <c r="B47" s="2" t="s">
        <v>212</v>
      </c>
      <c r="C47" s="6">
        <v>2.9851230383211274</v>
      </c>
      <c r="D47" s="2">
        <v>44</v>
      </c>
      <c r="E47" s="8">
        <v>0.51537194907445538</v>
      </c>
      <c r="F47" s="7">
        <f>(C47-1)*100/($C$4-1)</f>
        <v>62.223013019554472</v>
      </c>
      <c r="G47" s="6">
        <v>2.5</v>
      </c>
      <c r="H47" s="2">
        <v>59</v>
      </c>
      <c r="I47" s="6">
        <v>2.8333300000000001</v>
      </c>
      <c r="J47" s="2">
        <v>46</v>
      </c>
      <c r="K47" s="6">
        <v>2.6</v>
      </c>
      <c r="L47" s="2">
        <v>76</v>
      </c>
      <c r="M47" s="6">
        <v>3</v>
      </c>
      <c r="N47" s="2">
        <v>47</v>
      </c>
      <c r="O47" s="6">
        <v>3.3333300000000001</v>
      </c>
      <c r="P47" s="2">
        <v>32</v>
      </c>
      <c r="Q47" s="6">
        <v>2.4</v>
      </c>
      <c r="R47" s="2">
        <v>130</v>
      </c>
      <c r="S47" s="6">
        <v>3.75</v>
      </c>
      <c r="T47" s="2">
        <v>32</v>
      </c>
    </row>
    <row r="48" spans="1:20">
      <c r="A48" s="2" t="s">
        <v>211</v>
      </c>
      <c r="B48" s="2" t="s">
        <v>210</v>
      </c>
      <c r="C48" s="6">
        <v>2.9824676562182066</v>
      </c>
      <c r="D48" s="2">
        <v>45</v>
      </c>
      <c r="E48" s="8">
        <v>8.6417104374373471E-2</v>
      </c>
      <c r="F48" s="7">
        <f>(C48-1)*100/($C$4-1)</f>
        <v>62.139780961907469</v>
      </c>
      <c r="G48" s="6">
        <v>2.6486499999999999</v>
      </c>
      <c r="H48" s="2">
        <v>51</v>
      </c>
      <c r="I48" s="6">
        <v>2.8055599999999998</v>
      </c>
      <c r="J48" s="2">
        <v>47</v>
      </c>
      <c r="K48" s="6">
        <v>2.9697</v>
      </c>
      <c r="L48" s="2">
        <v>49</v>
      </c>
      <c r="M48" s="6">
        <v>3</v>
      </c>
      <c r="N48" s="2">
        <v>44</v>
      </c>
      <c r="O48" s="6">
        <v>3</v>
      </c>
      <c r="P48" s="2">
        <v>46</v>
      </c>
      <c r="Q48" s="6">
        <v>2.8387099999999998</v>
      </c>
      <c r="R48" s="2">
        <v>93</v>
      </c>
      <c r="S48" s="6">
        <v>3.5</v>
      </c>
      <c r="T48" s="2">
        <v>46</v>
      </c>
    </row>
    <row r="49" spans="1:20">
      <c r="A49" s="2" t="s">
        <v>209</v>
      </c>
      <c r="B49" s="2" t="s">
        <v>208</v>
      </c>
      <c r="C49" s="6">
        <v>2.9763268305059345</v>
      </c>
      <c r="D49" s="2">
        <v>46</v>
      </c>
      <c r="E49" s="8">
        <v>0.18601773040644323</v>
      </c>
      <c r="F49" s="7">
        <f>(C49-1)*100/($C$4-1)</f>
        <v>61.947298848270485</v>
      </c>
      <c r="G49" s="6">
        <v>2.4444400000000002</v>
      </c>
      <c r="H49" s="2">
        <v>67</v>
      </c>
      <c r="I49" s="6">
        <v>2.625</v>
      </c>
      <c r="J49" s="2">
        <v>55</v>
      </c>
      <c r="K49" s="6">
        <v>3</v>
      </c>
      <c r="L49" s="2">
        <v>46</v>
      </c>
      <c r="M49" s="6">
        <v>3</v>
      </c>
      <c r="N49" s="2">
        <v>43</v>
      </c>
      <c r="O49" s="6">
        <v>3.1666699999999999</v>
      </c>
      <c r="P49" s="2">
        <v>38</v>
      </c>
      <c r="Q49" s="6">
        <v>3</v>
      </c>
      <c r="R49" s="2">
        <v>56</v>
      </c>
      <c r="S49" s="6">
        <v>3.6666699999999999</v>
      </c>
      <c r="T49" s="2">
        <v>38</v>
      </c>
    </row>
    <row r="50" spans="1:20">
      <c r="A50" s="2" t="s">
        <v>207</v>
      </c>
      <c r="B50" s="2" t="s">
        <v>206</v>
      </c>
      <c r="C50" s="6">
        <v>2.9471880461366462</v>
      </c>
      <c r="D50" s="2">
        <v>47</v>
      </c>
      <c r="E50" s="8">
        <v>0.11398316289678552</v>
      </c>
      <c r="F50" s="7">
        <f>(C50-1)*100/($C$4-1)</f>
        <v>61.03395346655671</v>
      </c>
      <c r="G50" s="6">
        <v>2.75</v>
      </c>
      <c r="H50" s="2">
        <v>42</v>
      </c>
      <c r="I50" s="6">
        <v>2.9130400000000001</v>
      </c>
      <c r="J50" s="2">
        <v>40</v>
      </c>
      <c r="K50" s="6">
        <v>2.85</v>
      </c>
      <c r="L50" s="2">
        <v>56</v>
      </c>
      <c r="M50" s="6">
        <v>3</v>
      </c>
      <c r="N50" s="2">
        <v>45</v>
      </c>
      <c r="O50" s="6">
        <v>2.8421099999999999</v>
      </c>
      <c r="P50" s="2">
        <v>58</v>
      </c>
      <c r="Q50" s="6">
        <v>3.2941199999999999</v>
      </c>
      <c r="R50" s="2">
        <v>18</v>
      </c>
      <c r="S50" s="6">
        <v>3.3529399999999998</v>
      </c>
      <c r="T50" s="2">
        <v>53</v>
      </c>
    </row>
    <row r="51" spans="1:20">
      <c r="A51" s="2" t="s">
        <v>205</v>
      </c>
      <c r="B51" s="2" t="s">
        <v>204</v>
      </c>
      <c r="C51" s="6">
        <v>2.9232138113109833</v>
      </c>
      <c r="D51" s="2">
        <v>48</v>
      </c>
      <c r="E51" s="8">
        <v>0.22092146845869146</v>
      </c>
      <c r="F51" s="7">
        <f>(C51-1)*100/($C$4-1)</f>
        <v>60.282489150796884</v>
      </c>
      <c r="G51" s="6">
        <v>2.7142900000000001</v>
      </c>
      <c r="H51" s="2">
        <v>46</v>
      </c>
      <c r="I51" s="6">
        <v>2.8571399999999998</v>
      </c>
      <c r="J51" s="2">
        <v>43</v>
      </c>
      <c r="K51" s="6">
        <v>2.5714299999999999</v>
      </c>
      <c r="L51" s="2">
        <v>79</v>
      </c>
      <c r="M51" s="6">
        <v>2.6666699999999999</v>
      </c>
      <c r="N51" s="2">
        <v>67</v>
      </c>
      <c r="O51" s="6">
        <v>2.8</v>
      </c>
      <c r="P51" s="2">
        <v>63</v>
      </c>
      <c r="Q51" s="6">
        <v>3.25</v>
      </c>
      <c r="R51" s="2">
        <v>20</v>
      </c>
      <c r="S51" s="6">
        <v>4</v>
      </c>
      <c r="T51" s="2">
        <v>24</v>
      </c>
    </row>
    <row r="52" spans="1:20">
      <c r="A52" s="2" t="s">
        <v>203</v>
      </c>
      <c r="B52" s="2" t="s">
        <v>202</v>
      </c>
      <c r="C52" s="6">
        <v>2.9205663319693373</v>
      </c>
      <c r="D52" s="2">
        <v>49</v>
      </c>
      <c r="E52" s="8">
        <v>0.13167464744092949</v>
      </c>
      <c r="F52" s="7">
        <f>(C52-1)*100/($C$4-1)</f>
        <v>60.199504802540282</v>
      </c>
      <c r="G52" s="6">
        <v>2.7692299999999999</v>
      </c>
      <c r="H52" s="2">
        <v>41</v>
      </c>
      <c r="I52" s="6">
        <v>2.90909</v>
      </c>
      <c r="J52" s="2">
        <v>41</v>
      </c>
      <c r="K52" s="6">
        <v>2.9230800000000001</v>
      </c>
      <c r="L52" s="2">
        <v>51</v>
      </c>
      <c r="M52" s="6">
        <v>2.7692299999999999</v>
      </c>
      <c r="N52" s="2">
        <v>58</v>
      </c>
      <c r="O52" s="6">
        <v>2.9230800000000001</v>
      </c>
      <c r="P52" s="2">
        <v>50</v>
      </c>
      <c r="Q52" s="6">
        <v>2.9166699999999999</v>
      </c>
      <c r="R52" s="2">
        <v>77</v>
      </c>
      <c r="S52" s="6">
        <v>3.25</v>
      </c>
      <c r="T52" s="2">
        <v>62</v>
      </c>
    </row>
    <row r="53" spans="1:20">
      <c r="A53" s="2" t="s">
        <v>201</v>
      </c>
      <c r="B53" s="2" t="s">
        <v>200</v>
      </c>
      <c r="C53" s="6">
        <v>2.9186150560230413</v>
      </c>
      <c r="D53" s="2">
        <v>50</v>
      </c>
      <c r="E53" s="8">
        <v>0.16795173090790724</v>
      </c>
      <c r="F53" s="7">
        <f>(C53-1)*100/($C$4-1)</f>
        <v>60.138342715220084</v>
      </c>
      <c r="G53" s="6">
        <v>2.6086999999999998</v>
      </c>
      <c r="H53" s="2">
        <v>55</v>
      </c>
      <c r="I53" s="6">
        <v>2.6818200000000001</v>
      </c>
      <c r="J53" s="2">
        <v>52</v>
      </c>
      <c r="K53" s="6">
        <v>3.0869599999999999</v>
      </c>
      <c r="L53" s="2">
        <v>38</v>
      </c>
      <c r="M53" s="6">
        <v>3</v>
      </c>
      <c r="N53" s="2">
        <v>40</v>
      </c>
      <c r="O53" s="6">
        <v>2.86957</v>
      </c>
      <c r="P53" s="2">
        <v>55</v>
      </c>
      <c r="Q53" s="6">
        <v>3.09091</v>
      </c>
      <c r="R53" s="2">
        <v>44</v>
      </c>
      <c r="S53" s="6">
        <v>3.2608700000000002</v>
      </c>
      <c r="T53" s="2">
        <v>60</v>
      </c>
    </row>
    <row r="54" spans="1:20">
      <c r="A54" s="2" t="s">
        <v>199</v>
      </c>
      <c r="B54" s="2" t="s">
        <v>198</v>
      </c>
      <c r="C54" s="6">
        <v>2.9071201231255639</v>
      </c>
      <c r="D54" s="2">
        <v>51</v>
      </c>
      <c r="E54" s="8">
        <v>0.17686846517703222</v>
      </c>
      <c r="F54" s="7">
        <f>(C54-1)*100/($C$4-1)</f>
        <v>59.778037915199455</v>
      </c>
      <c r="G54" s="6">
        <v>2.6</v>
      </c>
      <c r="H54" s="2">
        <v>56</v>
      </c>
      <c r="I54" s="6">
        <v>2.73333</v>
      </c>
      <c r="J54" s="2">
        <v>50</v>
      </c>
      <c r="K54" s="6">
        <v>3.2</v>
      </c>
      <c r="L54" s="2">
        <v>35</v>
      </c>
      <c r="M54" s="6">
        <v>2.8571399999999998</v>
      </c>
      <c r="N54" s="2">
        <v>52</v>
      </c>
      <c r="O54" s="6">
        <v>2.8571399999999998</v>
      </c>
      <c r="P54" s="2">
        <v>56</v>
      </c>
      <c r="Q54" s="6">
        <v>2.61538</v>
      </c>
      <c r="R54" s="2">
        <v>123</v>
      </c>
      <c r="S54" s="6">
        <v>3.1818200000000001</v>
      </c>
      <c r="T54" s="2">
        <v>66</v>
      </c>
    </row>
    <row r="55" spans="1:20">
      <c r="A55" s="2" t="s">
        <v>197</v>
      </c>
      <c r="B55" s="2" t="s">
        <v>196</v>
      </c>
      <c r="C55" s="6">
        <v>2.8899195323737903</v>
      </c>
      <c r="D55" s="2">
        <v>52</v>
      </c>
      <c r="E55" s="8">
        <v>0.12626157156392978</v>
      </c>
      <c r="F55" s="7">
        <f>(C55-1)*100/($C$4-1)</f>
        <v>59.238891191479595</v>
      </c>
      <c r="G55" s="6">
        <v>2.61538</v>
      </c>
      <c r="H55" s="2">
        <v>54</v>
      </c>
      <c r="I55" s="6">
        <v>2.61538</v>
      </c>
      <c r="J55" s="2">
        <v>56</v>
      </c>
      <c r="K55" s="6">
        <v>3.0833300000000001</v>
      </c>
      <c r="L55" s="2">
        <v>39</v>
      </c>
      <c r="M55" s="6">
        <v>3</v>
      </c>
      <c r="N55" s="2">
        <v>41</v>
      </c>
      <c r="O55" s="6">
        <v>2.8461500000000002</v>
      </c>
      <c r="P55" s="2">
        <v>57</v>
      </c>
      <c r="Q55" s="6">
        <v>2.9166699999999999</v>
      </c>
      <c r="R55" s="2">
        <v>78</v>
      </c>
      <c r="S55" s="6">
        <v>3.1666699999999999</v>
      </c>
      <c r="T55" s="2">
        <v>68</v>
      </c>
    </row>
    <row r="56" spans="1:20">
      <c r="A56" s="2" t="s">
        <v>195</v>
      </c>
      <c r="B56" s="2" t="s">
        <v>194</v>
      </c>
      <c r="C56" s="6">
        <v>2.8888545877667835</v>
      </c>
      <c r="D56" s="2">
        <v>53</v>
      </c>
      <c r="E56" s="8">
        <v>0.17726136184295688</v>
      </c>
      <c r="F56" s="7">
        <f>(C56-1)*100/($C$4-1)</f>
        <v>59.205510861460894</v>
      </c>
      <c r="G56" s="6">
        <v>2.88889</v>
      </c>
      <c r="H56" s="2">
        <v>37</v>
      </c>
      <c r="I56" s="6">
        <v>2.5</v>
      </c>
      <c r="J56" s="2">
        <v>60</v>
      </c>
      <c r="K56" s="6">
        <v>3</v>
      </c>
      <c r="L56" s="2">
        <v>47</v>
      </c>
      <c r="M56" s="6">
        <v>2.8</v>
      </c>
      <c r="N56" s="2">
        <v>56</v>
      </c>
      <c r="O56" s="6">
        <v>2.9</v>
      </c>
      <c r="P56" s="2">
        <v>53</v>
      </c>
      <c r="Q56" s="6">
        <v>3.3</v>
      </c>
      <c r="R56" s="2">
        <v>17</v>
      </c>
      <c r="S56" s="6">
        <v>3.2222200000000001</v>
      </c>
      <c r="T56" s="2">
        <v>65</v>
      </c>
    </row>
    <row r="57" spans="1:20">
      <c r="A57" s="2" t="s">
        <v>193</v>
      </c>
      <c r="B57" s="2" t="s">
        <v>192</v>
      </c>
      <c r="C57" s="6">
        <v>2.8887168461682027</v>
      </c>
      <c r="D57" s="2">
        <v>54</v>
      </c>
      <c r="E57" s="8">
        <v>0.15031700799855952</v>
      </c>
      <c r="F57" s="7">
        <f>(C57-1)*100/($C$4-1)</f>
        <v>59.201193397446637</v>
      </c>
      <c r="G57" s="6">
        <v>2.6842100000000002</v>
      </c>
      <c r="H57" s="2">
        <v>48</v>
      </c>
      <c r="I57" s="6">
        <v>2.7894700000000001</v>
      </c>
      <c r="J57" s="2">
        <v>48</v>
      </c>
      <c r="K57" s="6">
        <v>2.8</v>
      </c>
      <c r="L57" s="2">
        <v>58</v>
      </c>
      <c r="M57" s="6">
        <v>2.73333</v>
      </c>
      <c r="N57" s="2">
        <v>60</v>
      </c>
      <c r="O57" s="6">
        <v>2.9333300000000002</v>
      </c>
      <c r="P57" s="2">
        <v>49</v>
      </c>
      <c r="Q57" s="6">
        <v>3.2142900000000001</v>
      </c>
      <c r="R57" s="2">
        <v>25</v>
      </c>
      <c r="S57" s="6">
        <v>3.4285700000000001</v>
      </c>
      <c r="T57" s="2">
        <v>49</v>
      </c>
    </row>
    <row r="58" spans="1:20">
      <c r="A58" s="2" t="s">
        <v>191</v>
      </c>
      <c r="B58" s="2" t="s">
        <v>190</v>
      </c>
      <c r="C58" s="6">
        <v>2.8708377857087521</v>
      </c>
      <c r="D58" s="2">
        <v>55</v>
      </c>
      <c r="E58" s="8">
        <v>0.14643113071115224</v>
      </c>
      <c r="F58" s="7">
        <f>(C58-1)*100/($C$4-1)</f>
        <v>58.64078026925754</v>
      </c>
      <c r="G58" s="6">
        <v>2.4666700000000001</v>
      </c>
      <c r="H58" s="2">
        <v>66</v>
      </c>
      <c r="I58" s="6">
        <v>2.4666700000000001</v>
      </c>
      <c r="J58" s="2">
        <v>64</v>
      </c>
      <c r="K58" s="6">
        <v>2.7857099999999999</v>
      </c>
      <c r="L58" s="2">
        <v>59</v>
      </c>
      <c r="M58" s="6">
        <v>2.8571399999999998</v>
      </c>
      <c r="N58" s="2">
        <v>53</v>
      </c>
      <c r="O58" s="6">
        <v>3.1428600000000002</v>
      </c>
      <c r="P58" s="2">
        <v>39</v>
      </c>
      <c r="Q58" s="6">
        <v>2.90909</v>
      </c>
      <c r="R58" s="2">
        <v>81</v>
      </c>
      <c r="S58" s="6">
        <v>3.5555599999999998</v>
      </c>
      <c r="T58" s="2">
        <v>43</v>
      </c>
    </row>
    <row r="59" spans="1:20">
      <c r="A59" s="2" t="s">
        <v>189</v>
      </c>
      <c r="B59" s="2" t="s">
        <v>188</v>
      </c>
      <c r="C59" s="6">
        <v>2.8680545744054138</v>
      </c>
      <c r="D59" s="2">
        <v>56</v>
      </c>
      <c r="E59" s="8">
        <v>5.2644400146580207E-2</v>
      </c>
      <c r="F59" s="7">
        <f>(C59-1)*100/($C$4-1)</f>
        <v>58.553541448378077</v>
      </c>
      <c r="G59" s="6">
        <v>2.4952399999999999</v>
      </c>
      <c r="H59" s="2">
        <v>63</v>
      </c>
      <c r="I59" s="6">
        <v>2.68</v>
      </c>
      <c r="J59" s="2">
        <v>53</v>
      </c>
      <c r="K59" s="6">
        <v>2.90909</v>
      </c>
      <c r="L59" s="2">
        <v>54</v>
      </c>
      <c r="M59" s="6">
        <v>2.7978700000000001</v>
      </c>
      <c r="N59" s="2">
        <v>57</v>
      </c>
      <c r="O59" s="6">
        <v>2.9578899999999999</v>
      </c>
      <c r="P59" s="2">
        <v>48</v>
      </c>
      <c r="Q59" s="6">
        <v>2.7894700000000001</v>
      </c>
      <c r="R59" s="2">
        <v>101</v>
      </c>
      <c r="S59" s="6">
        <v>3.4</v>
      </c>
      <c r="T59" s="2">
        <v>51</v>
      </c>
    </row>
    <row r="60" spans="1:20">
      <c r="A60" s="2" t="s">
        <v>187</v>
      </c>
      <c r="B60" s="2" t="s">
        <v>186</v>
      </c>
      <c r="C60" s="6">
        <v>2.859236124798179</v>
      </c>
      <c r="D60" s="2">
        <v>57</v>
      </c>
      <c r="E60" s="8">
        <v>0.48551423636449348</v>
      </c>
      <c r="F60" s="7">
        <f>(C60-1)*100/($C$4-1)</f>
        <v>58.277130115613879</v>
      </c>
      <c r="G60" s="6">
        <v>2.5</v>
      </c>
      <c r="H60" s="2">
        <v>60</v>
      </c>
      <c r="I60" s="6">
        <v>2.2000000000000002</v>
      </c>
      <c r="J60" s="2">
        <v>95</v>
      </c>
      <c r="K60" s="6">
        <v>3.4</v>
      </c>
      <c r="L60" s="2">
        <v>25</v>
      </c>
      <c r="M60" s="6">
        <v>3</v>
      </c>
      <c r="N60" s="2">
        <v>39</v>
      </c>
      <c r="O60" s="6">
        <v>3</v>
      </c>
      <c r="P60" s="2">
        <v>45</v>
      </c>
      <c r="Q60" s="6">
        <v>3.6666699999999999</v>
      </c>
      <c r="R60" s="2">
        <v>2</v>
      </c>
      <c r="S60" s="6">
        <v>3</v>
      </c>
      <c r="T60" s="2">
        <v>76</v>
      </c>
    </row>
    <row r="61" spans="1:20">
      <c r="A61" s="2" t="s">
        <v>185</v>
      </c>
      <c r="B61" s="2" t="s">
        <v>184</v>
      </c>
      <c r="C61" s="6">
        <v>2.7781919229027245</v>
      </c>
      <c r="D61" s="2">
        <v>58</v>
      </c>
      <c r="E61" s="8">
        <v>0.20844934446974644</v>
      </c>
      <c r="F61" s="7">
        <f>(C61-1)*100/($C$4-1)</f>
        <v>55.736826903997773</v>
      </c>
      <c r="G61" s="6">
        <v>2.6363599999999998</v>
      </c>
      <c r="H61" s="2">
        <v>52</v>
      </c>
      <c r="I61" s="6">
        <v>2.2999999999999998</v>
      </c>
      <c r="J61" s="2">
        <v>80</v>
      </c>
      <c r="K61" s="6">
        <v>3</v>
      </c>
      <c r="L61" s="2">
        <v>48</v>
      </c>
      <c r="M61" s="6">
        <v>2.7</v>
      </c>
      <c r="N61" s="2">
        <v>64</v>
      </c>
      <c r="O61" s="6">
        <v>2.6</v>
      </c>
      <c r="P61" s="2">
        <v>74</v>
      </c>
      <c r="Q61" s="6">
        <v>3</v>
      </c>
      <c r="R61" s="2">
        <v>60</v>
      </c>
      <c r="S61" s="6">
        <v>3.4</v>
      </c>
      <c r="T61" s="2">
        <v>50</v>
      </c>
    </row>
    <row r="62" spans="1:20">
      <c r="A62" s="2" t="s">
        <v>183</v>
      </c>
      <c r="B62" s="2" t="s">
        <v>182</v>
      </c>
      <c r="C62" s="6">
        <v>2.7684555852256114</v>
      </c>
      <c r="D62" s="2">
        <v>59</v>
      </c>
      <c r="E62" s="8">
        <v>0.1457665083674213</v>
      </c>
      <c r="F62" s="7">
        <f>(C62-1)*100/($C$4-1)</f>
        <v>55.431644678840513</v>
      </c>
      <c r="G62" s="6">
        <v>2.6818200000000001</v>
      </c>
      <c r="H62" s="2">
        <v>49</v>
      </c>
      <c r="I62" s="6">
        <v>2.5714299999999999</v>
      </c>
      <c r="J62" s="2">
        <v>57</v>
      </c>
      <c r="K62" s="6">
        <v>2.9130400000000001</v>
      </c>
      <c r="L62" s="2">
        <v>53</v>
      </c>
      <c r="M62" s="6">
        <v>2.7272699999999999</v>
      </c>
      <c r="N62" s="2">
        <v>61</v>
      </c>
      <c r="O62" s="6">
        <v>2.7</v>
      </c>
      <c r="P62" s="2">
        <v>67</v>
      </c>
      <c r="Q62" s="6">
        <v>3</v>
      </c>
      <c r="R62" s="2">
        <v>59</v>
      </c>
      <c r="S62" s="6">
        <v>3</v>
      </c>
      <c r="T62" s="2">
        <v>80</v>
      </c>
    </row>
    <row r="63" spans="1:20">
      <c r="A63" s="2" t="s">
        <v>181</v>
      </c>
      <c r="B63" s="2" t="s">
        <v>180</v>
      </c>
      <c r="C63" s="6">
        <v>2.7644200714113607</v>
      </c>
      <c r="D63" s="2">
        <v>60</v>
      </c>
      <c r="E63" s="8">
        <v>0.15121142070400612</v>
      </c>
      <c r="F63" s="7">
        <f>(C63-1)*100/($C$4-1)</f>
        <v>55.305152857549139</v>
      </c>
      <c r="G63" s="6">
        <v>2.8333300000000001</v>
      </c>
      <c r="H63" s="2">
        <v>39</v>
      </c>
      <c r="I63" s="6">
        <v>2.8333300000000001</v>
      </c>
      <c r="J63" s="2">
        <v>44</v>
      </c>
      <c r="K63" s="6">
        <v>2.8571399999999998</v>
      </c>
      <c r="L63" s="2">
        <v>55</v>
      </c>
      <c r="M63" s="6">
        <v>2.4285700000000001</v>
      </c>
      <c r="N63" s="2">
        <v>88</v>
      </c>
      <c r="O63" s="6">
        <v>2.8333300000000001</v>
      </c>
      <c r="P63" s="2">
        <v>60</v>
      </c>
      <c r="Q63" s="6">
        <v>3.2</v>
      </c>
      <c r="R63" s="2">
        <v>30</v>
      </c>
      <c r="S63" s="6">
        <v>2.8</v>
      </c>
      <c r="T63" s="2">
        <v>105</v>
      </c>
    </row>
    <row r="64" spans="1:20">
      <c r="A64" s="2" t="s">
        <v>179</v>
      </c>
      <c r="B64" s="2" t="s">
        <v>178</v>
      </c>
      <c r="C64" s="6">
        <v>2.7506489803231426</v>
      </c>
      <c r="D64" s="2">
        <v>61</v>
      </c>
      <c r="E64" s="8">
        <v>6.6255023026351417E-2</v>
      </c>
      <c r="F64" s="7">
        <f>(C64-1)*100/($C$4-1)</f>
        <v>54.873502645680986</v>
      </c>
      <c r="G64" s="6">
        <v>2.38571</v>
      </c>
      <c r="H64" s="2">
        <v>74</v>
      </c>
      <c r="I64" s="6">
        <v>2.74648</v>
      </c>
      <c r="J64" s="2">
        <v>49</v>
      </c>
      <c r="K64" s="6">
        <v>2.6086999999999998</v>
      </c>
      <c r="L64" s="2">
        <v>75</v>
      </c>
      <c r="M64" s="6">
        <v>2.9393899999999999</v>
      </c>
      <c r="N64" s="2">
        <v>49</v>
      </c>
      <c r="O64" s="6">
        <v>2.7692299999999999</v>
      </c>
      <c r="P64" s="2">
        <v>65</v>
      </c>
      <c r="Q64" s="6">
        <v>2.5789499999999999</v>
      </c>
      <c r="R64" s="2">
        <v>126</v>
      </c>
      <c r="S64" s="6">
        <v>3.1016900000000001</v>
      </c>
      <c r="T64" s="2">
        <v>71</v>
      </c>
    </row>
    <row r="65" spans="1:20">
      <c r="A65" s="2" t="s">
        <v>177</v>
      </c>
      <c r="B65" s="2" t="s">
        <v>176</v>
      </c>
      <c r="C65" s="6">
        <v>2.7148353771317852</v>
      </c>
      <c r="D65" s="2">
        <v>62</v>
      </c>
      <c r="E65" s="8">
        <v>0.24405991742855992</v>
      </c>
      <c r="F65" s="7">
        <f>(C65-1)*100/($C$4-1)</f>
        <v>53.750937316159835</v>
      </c>
      <c r="G65" s="6">
        <v>2.5</v>
      </c>
      <c r="H65" s="2">
        <v>61</v>
      </c>
      <c r="I65" s="6">
        <v>2.3333300000000001</v>
      </c>
      <c r="J65" s="2">
        <v>75</v>
      </c>
      <c r="K65" s="6">
        <v>2.5</v>
      </c>
      <c r="L65" s="2">
        <v>85</v>
      </c>
      <c r="M65" s="6">
        <v>2.6666699999999999</v>
      </c>
      <c r="N65" s="2">
        <v>68</v>
      </c>
      <c r="O65" s="6">
        <v>2.8333300000000001</v>
      </c>
      <c r="P65" s="2">
        <v>59</v>
      </c>
      <c r="Q65" s="6">
        <v>3.2</v>
      </c>
      <c r="R65" s="2">
        <v>29</v>
      </c>
      <c r="S65" s="6">
        <v>3.5</v>
      </c>
      <c r="T65" s="2">
        <v>45</v>
      </c>
    </row>
    <row r="66" spans="1:20">
      <c r="A66" s="2" t="s">
        <v>175</v>
      </c>
      <c r="B66" s="2" t="s">
        <v>174</v>
      </c>
      <c r="C66" s="6">
        <v>2.7136222082256745</v>
      </c>
      <c r="D66" s="2">
        <v>63</v>
      </c>
      <c r="E66" s="8">
        <v>0.19626685480396588</v>
      </c>
      <c r="F66" s="7">
        <f>(C66-1)*100/($C$4-1)</f>
        <v>53.712910945409696</v>
      </c>
      <c r="G66" s="6">
        <v>2.3571399999999998</v>
      </c>
      <c r="H66" s="2">
        <v>78</v>
      </c>
      <c r="I66" s="6">
        <v>2.5</v>
      </c>
      <c r="J66" s="2">
        <v>61</v>
      </c>
      <c r="K66" s="6">
        <v>2.69231</v>
      </c>
      <c r="L66" s="2">
        <v>66</v>
      </c>
      <c r="M66" s="6">
        <v>2.8333300000000001</v>
      </c>
      <c r="N66" s="2">
        <v>54</v>
      </c>
      <c r="O66" s="6">
        <v>2.4615399999999998</v>
      </c>
      <c r="P66" s="2">
        <v>87</v>
      </c>
      <c r="Q66" s="6">
        <v>3.0769199999999999</v>
      </c>
      <c r="R66" s="2">
        <v>50</v>
      </c>
      <c r="S66" s="6">
        <v>3.4545499999999998</v>
      </c>
      <c r="T66" s="2">
        <v>48</v>
      </c>
    </row>
    <row r="67" spans="1:20">
      <c r="A67" s="2" t="s">
        <v>173</v>
      </c>
      <c r="B67" s="2" t="s">
        <v>172</v>
      </c>
      <c r="C67" s="6">
        <v>2.7108024432567825</v>
      </c>
      <c r="D67" s="2">
        <v>64</v>
      </c>
      <c r="E67" s="8">
        <v>0.18890721925834575</v>
      </c>
      <c r="F67" s="7">
        <f>(C67-1)*100/($C$4-1)</f>
        <v>53.624526362195226</v>
      </c>
      <c r="G67" s="6">
        <v>2.3571399999999998</v>
      </c>
      <c r="H67" s="2">
        <v>79</v>
      </c>
      <c r="I67" s="6">
        <v>2.3571399999999998</v>
      </c>
      <c r="J67" s="2">
        <v>73</v>
      </c>
      <c r="K67" s="6">
        <v>2.6666699999999999</v>
      </c>
      <c r="L67" s="2">
        <v>68</v>
      </c>
      <c r="M67" s="6">
        <v>2.8333300000000001</v>
      </c>
      <c r="N67" s="2">
        <v>55</v>
      </c>
      <c r="O67" s="6">
        <v>2.9166699999999999</v>
      </c>
      <c r="P67" s="2">
        <v>51</v>
      </c>
      <c r="Q67" s="6">
        <v>3</v>
      </c>
      <c r="R67" s="2">
        <v>58</v>
      </c>
      <c r="S67" s="6">
        <v>3.1666699999999999</v>
      </c>
      <c r="T67" s="2">
        <v>67</v>
      </c>
    </row>
    <row r="68" spans="1:20">
      <c r="A68" s="2" t="s">
        <v>171</v>
      </c>
      <c r="B68" s="2" t="s">
        <v>170</v>
      </c>
      <c r="C68" s="6">
        <v>2.6892383605192167</v>
      </c>
      <c r="D68" s="2">
        <v>65</v>
      </c>
      <c r="E68" s="8">
        <v>0.15158367460374975</v>
      </c>
      <c r="F68" s="7">
        <f>(C68-1)*100/($C$4-1)</f>
        <v>52.948607451864568</v>
      </c>
      <c r="G68" s="6">
        <v>2.6363599999999998</v>
      </c>
      <c r="H68" s="2">
        <v>53</v>
      </c>
      <c r="I68" s="6">
        <v>2.2608700000000002</v>
      </c>
      <c r="J68" s="2">
        <v>87</v>
      </c>
      <c r="K68" s="6">
        <v>2.7727300000000001</v>
      </c>
      <c r="L68" s="2">
        <v>63</v>
      </c>
      <c r="M68" s="6">
        <v>2.6521699999999999</v>
      </c>
      <c r="N68" s="2">
        <v>70</v>
      </c>
      <c r="O68" s="6">
        <v>2.6521699999999999</v>
      </c>
      <c r="P68" s="2">
        <v>69</v>
      </c>
      <c r="Q68" s="6">
        <v>3.2727300000000001</v>
      </c>
      <c r="R68" s="2">
        <v>19</v>
      </c>
      <c r="S68" s="6">
        <v>3.1428600000000002</v>
      </c>
      <c r="T68" s="2">
        <v>70</v>
      </c>
    </row>
    <row r="69" spans="1:20">
      <c r="A69" s="2" t="s">
        <v>169</v>
      </c>
      <c r="B69" s="2" t="s">
        <v>168</v>
      </c>
      <c r="C69" s="6">
        <v>2.6620085139353042</v>
      </c>
      <c r="D69" s="2">
        <v>66</v>
      </c>
      <c r="E69" s="8">
        <v>0.13293028836442564</v>
      </c>
      <c r="F69" s="7">
        <f>(C69-1)*100/($C$4-1)</f>
        <v>52.095097082077011</v>
      </c>
      <c r="G69" s="6">
        <v>2.375</v>
      </c>
      <c r="H69" s="2">
        <v>75</v>
      </c>
      <c r="I69" s="6">
        <v>2.4210500000000001</v>
      </c>
      <c r="J69" s="2">
        <v>68</v>
      </c>
      <c r="K69" s="6">
        <v>2.7777799999999999</v>
      </c>
      <c r="L69" s="2">
        <v>61</v>
      </c>
      <c r="M69" s="6">
        <v>2.5294099999999999</v>
      </c>
      <c r="N69" s="2">
        <v>78</v>
      </c>
      <c r="O69" s="6">
        <v>2.8235299999999999</v>
      </c>
      <c r="P69" s="2">
        <v>61</v>
      </c>
      <c r="Q69" s="6">
        <v>2.9375</v>
      </c>
      <c r="R69" s="2">
        <v>74</v>
      </c>
      <c r="S69" s="6">
        <v>3.0625</v>
      </c>
      <c r="T69" s="2">
        <v>73</v>
      </c>
    </row>
    <row r="70" spans="1:20">
      <c r="A70" s="2" t="s">
        <v>167</v>
      </c>
      <c r="B70" s="2" t="s">
        <v>166</v>
      </c>
      <c r="C70" s="6">
        <v>2.6304247890339543</v>
      </c>
      <c r="D70" s="2">
        <v>67</v>
      </c>
      <c r="E70" s="8">
        <v>0.18542146275471261</v>
      </c>
      <c r="F70" s="7">
        <f>(C70-1)*100/($C$4-1)</f>
        <v>51.105115862875209</v>
      </c>
      <c r="G70" s="6">
        <v>2.4</v>
      </c>
      <c r="H70" s="2">
        <v>70</v>
      </c>
      <c r="I70" s="6">
        <v>2.2000000000000002</v>
      </c>
      <c r="J70" s="2">
        <v>96</v>
      </c>
      <c r="K70" s="6">
        <v>2.6</v>
      </c>
      <c r="L70" s="2">
        <v>77</v>
      </c>
      <c r="M70" s="6">
        <v>2.7</v>
      </c>
      <c r="N70" s="2">
        <v>65</v>
      </c>
      <c r="O70" s="6">
        <v>2.8</v>
      </c>
      <c r="P70" s="2">
        <v>62</v>
      </c>
      <c r="Q70" s="6">
        <v>3.11111</v>
      </c>
      <c r="R70" s="2">
        <v>41</v>
      </c>
      <c r="S70" s="6">
        <v>3.1</v>
      </c>
      <c r="T70" s="2">
        <v>72</v>
      </c>
    </row>
    <row r="71" spans="1:20">
      <c r="A71" s="2" t="s">
        <v>165</v>
      </c>
      <c r="B71" s="2" t="s">
        <v>164</v>
      </c>
      <c r="C71" s="6">
        <v>2.6185536195223733</v>
      </c>
      <c r="D71" s="2">
        <v>68</v>
      </c>
      <c r="E71" s="8">
        <v>0.15825620718696431</v>
      </c>
      <c r="F71" s="7">
        <f>(C71-1)*100/($C$4-1)</f>
        <v>50.733018052907148</v>
      </c>
      <c r="G71" s="6">
        <v>2.40909</v>
      </c>
      <c r="H71" s="2">
        <v>69</v>
      </c>
      <c r="I71" s="6">
        <v>2.36842</v>
      </c>
      <c r="J71" s="2">
        <v>71</v>
      </c>
      <c r="K71" s="6">
        <v>2.7222200000000001</v>
      </c>
      <c r="L71" s="2">
        <v>65</v>
      </c>
      <c r="M71" s="6">
        <v>2.7058800000000001</v>
      </c>
      <c r="N71" s="2">
        <v>63</v>
      </c>
      <c r="O71" s="6">
        <v>2.5714299999999999</v>
      </c>
      <c r="P71" s="2">
        <v>76</v>
      </c>
      <c r="Q71" s="6">
        <v>2.8571399999999998</v>
      </c>
      <c r="R71" s="2">
        <v>90</v>
      </c>
      <c r="S71" s="6">
        <v>2.9285700000000001</v>
      </c>
      <c r="T71" s="2">
        <v>88</v>
      </c>
    </row>
    <row r="72" spans="1:20">
      <c r="A72" s="2" t="s">
        <v>163</v>
      </c>
      <c r="B72" s="2" t="s">
        <v>162</v>
      </c>
      <c r="C72" s="6">
        <v>2.618490723319236</v>
      </c>
      <c r="D72" s="2">
        <v>69</v>
      </c>
      <c r="E72" s="8">
        <v>8.0111196467970297E-2</v>
      </c>
      <c r="F72" s="7">
        <f>(C72-1)*100/($C$4-1)</f>
        <v>50.731046592604109</v>
      </c>
      <c r="G72" s="6">
        <v>2.3673500000000001</v>
      </c>
      <c r="H72" s="2">
        <v>77</v>
      </c>
      <c r="I72" s="6">
        <v>2.51064</v>
      </c>
      <c r="J72" s="2">
        <v>59</v>
      </c>
      <c r="K72" s="6">
        <v>2.69048</v>
      </c>
      <c r="L72" s="2">
        <v>67</v>
      </c>
      <c r="M72" s="6">
        <v>2.59091</v>
      </c>
      <c r="N72" s="2">
        <v>74</v>
      </c>
      <c r="O72" s="6">
        <v>2.5365899999999999</v>
      </c>
      <c r="P72" s="2">
        <v>79</v>
      </c>
      <c r="Q72" s="6">
        <v>2.6842100000000002</v>
      </c>
      <c r="R72" s="2">
        <v>114</v>
      </c>
      <c r="S72" s="6">
        <v>3.0249999999999999</v>
      </c>
      <c r="T72" s="2">
        <v>75</v>
      </c>
    </row>
    <row r="73" spans="1:20">
      <c r="A73" s="2" t="s">
        <v>161</v>
      </c>
      <c r="B73" s="2" t="s">
        <v>160</v>
      </c>
      <c r="C73" s="6">
        <v>2.5996798159607128</v>
      </c>
      <c r="D73" s="2">
        <v>70</v>
      </c>
      <c r="E73" s="8">
        <v>0.26177149885006512</v>
      </c>
      <c r="F73" s="7">
        <f>(C73-1)*100/($C$4-1)</f>
        <v>50.141425037222383</v>
      </c>
      <c r="G73" s="6">
        <v>2.25</v>
      </c>
      <c r="H73" s="2">
        <v>88</v>
      </c>
      <c r="I73" s="6">
        <v>2.3636400000000002</v>
      </c>
      <c r="J73" s="2">
        <v>72</v>
      </c>
      <c r="K73" s="6">
        <v>2.6363599999999998</v>
      </c>
      <c r="L73" s="2">
        <v>72</v>
      </c>
      <c r="M73" s="6">
        <v>2.6363599999999998</v>
      </c>
      <c r="N73" s="2">
        <v>71</v>
      </c>
      <c r="O73" s="6">
        <v>2.4545499999999998</v>
      </c>
      <c r="P73" s="2">
        <v>89</v>
      </c>
      <c r="Q73" s="6">
        <v>3.3636400000000002</v>
      </c>
      <c r="R73" s="2">
        <v>12</v>
      </c>
      <c r="S73" s="6">
        <v>3.2727300000000001</v>
      </c>
      <c r="T73" s="2">
        <v>59</v>
      </c>
    </row>
    <row r="74" spans="1:20">
      <c r="A74" s="2" t="s">
        <v>159</v>
      </c>
      <c r="B74" s="2" t="s">
        <v>158</v>
      </c>
      <c r="C74" s="6">
        <v>2.5694031154395853</v>
      </c>
      <c r="D74" s="2">
        <v>71</v>
      </c>
      <c r="E74" s="8">
        <v>0.14702977886409194</v>
      </c>
      <c r="F74" s="7">
        <f>(C74-1)*100/($C$4-1)</f>
        <v>49.192412056994947</v>
      </c>
      <c r="G74" s="6">
        <v>2.2000000000000002</v>
      </c>
      <c r="H74" s="2">
        <v>100</v>
      </c>
      <c r="I74" s="6">
        <v>2.4705900000000001</v>
      </c>
      <c r="J74" s="2">
        <v>63</v>
      </c>
      <c r="K74" s="6">
        <v>2.2941199999999999</v>
      </c>
      <c r="L74" s="2">
        <v>113</v>
      </c>
      <c r="M74" s="6">
        <v>2.625</v>
      </c>
      <c r="N74" s="2">
        <v>73</v>
      </c>
      <c r="O74" s="6">
        <v>2.6666699999999999</v>
      </c>
      <c r="P74" s="2">
        <v>68</v>
      </c>
      <c r="Q74" s="6">
        <v>3.1333299999999999</v>
      </c>
      <c r="R74" s="2">
        <v>36</v>
      </c>
      <c r="S74" s="6">
        <v>3.2307700000000001</v>
      </c>
      <c r="T74" s="2">
        <v>63</v>
      </c>
    </row>
    <row r="75" spans="1:20">
      <c r="A75" s="2" t="s">
        <v>157</v>
      </c>
      <c r="B75" s="2" t="s">
        <v>156</v>
      </c>
      <c r="C75" s="6">
        <v>2.5549262616021737</v>
      </c>
      <c r="D75" s="2">
        <v>72</v>
      </c>
      <c r="E75" s="8">
        <v>0.1097035717631329</v>
      </c>
      <c r="F75" s="7">
        <f>(C75-1)*100/($C$4-1)</f>
        <v>48.738639949463888</v>
      </c>
      <c r="G75" s="6">
        <v>2.4857100000000001</v>
      </c>
      <c r="H75" s="2">
        <v>64</v>
      </c>
      <c r="I75" s="6">
        <v>2.4333300000000002</v>
      </c>
      <c r="J75" s="2">
        <v>67</v>
      </c>
      <c r="K75" s="6">
        <v>2.5333299999999999</v>
      </c>
      <c r="L75" s="2">
        <v>82</v>
      </c>
      <c r="M75" s="6">
        <v>2.4285700000000001</v>
      </c>
      <c r="N75" s="2">
        <v>89</v>
      </c>
      <c r="O75" s="6">
        <v>2.5714299999999999</v>
      </c>
      <c r="P75" s="2">
        <v>78</v>
      </c>
      <c r="Q75" s="6">
        <v>3.0769199999999999</v>
      </c>
      <c r="R75" s="2">
        <v>49</v>
      </c>
      <c r="S75" s="6">
        <v>2.88889</v>
      </c>
      <c r="T75" s="2">
        <v>91</v>
      </c>
    </row>
    <row r="76" spans="1:20">
      <c r="A76" s="2" t="s">
        <v>155</v>
      </c>
      <c r="B76" s="2" t="s">
        <v>154</v>
      </c>
      <c r="C76" s="6">
        <v>2.5539505014213768</v>
      </c>
      <c r="D76" s="2">
        <v>73</v>
      </c>
      <c r="E76" s="8">
        <v>0.1501428705317239</v>
      </c>
      <c r="F76" s="7">
        <f>(C76-1)*100/($C$4-1)</f>
        <v>48.708055075246193</v>
      </c>
      <c r="G76" s="6">
        <v>2.2222200000000001</v>
      </c>
      <c r="H76" s="2">
        <v>97</v>
      </c>
      <c r="I76" s="6">
        <v>2.3529399999999998</v>
      </c>
      <c r="J76" s="2">
        <v>74</v>
      </c>
      <c r="K76" s="6">
        <v>2.5294099999999999</v>
      </c>
      <c r="L76" s="2">
        <v>83</v>
      </c>
      <c r="M76" s="6">
        <v>2.4117600000000001</v>
      </c>
      <c r="N76" s="2">
        <v>90</v>
      </c>
      <c r="O76" s="6">
        <v>2.5294099999999999</v>
      </c>
      <c r="P76" s="2">
        <v>80</v>
      </c>
      <c r="Q76" s="6">
        <v>3.25</v>
      </c>
      <c r="R76" s="2">
        <v>21</v>
      </c>
      <c r="S76" s="6">
        <v>3.3125</v>
      </c>
      <c r="T76" s="2">
        <v>55</v>
      </c>
    </row>
    <row r="77" spans="1:20">
      <c r="A77" s="2" t="s">
        <v>153</v>
      </c>
      <c r="B77" s="2" t="s">
        <v>152</v>
      </c>
      <c r="C77" s="6">
        <v>2.5316659910167871</v>
      </c>
      <c r="D77" s="2">
        <v>74</v>
      </c>
      <c r="E77" s="8">
        <v>0.25345762196140714</v>
      </c>
      <c r="F77" s="7">
        <f>(C77-1)*100/($C$4-1)</f>
        <v>48.009554602342568</v>
      </c>
      <c r="G77" s="6">
        <v>2.6666699999999999</v>
      </c>
      <c r="H77" s="2">
        <v>50</v>
      </c>
      <c r="I77" s="6">
        <v>2.625</v>
      </c>
      <c r="J77" s="2">
        <v>54</v>
      </c>
      <c r="K77" s="6">
        <v>2.125</v>
      </c>
      <c r="L77" s="2">
        <v>127</v>
      </c>
      <c r="M77" s="6">
        <v>2.125</v>
      </c>
      <c r="N77" s="2">
        <v>120</v>
      </c>
      <c r="O77" s="6">
        <v>2.7142900000000001</v>
      </c>
      <c r="P77" s="2">
        <v>66</v>
      </c>
      <c r="Q77" s="6">
        <v>3.125</v>
      </c>
      <c r="R77" s="2">
        <v>38</v>
      </c>
      <c r="S77" s="6">
        <v>3</v>
      </c>
      <c r="T77" s="2">
        <v>78</v>
      </c>
    </row>
    <row r="78" spans="1:20">
      <c r="A78" s="2" t="s">
        <v>151</v>
      </c>
      <c r="B78" s="2" t="s">
        <v>150</v>
      </c>
      <c r="C78" s="6">
        <v>2.5290981910620181</v>
      </c>
      <c r="D78" s="2">
        <v>75</v>
      </c>
      <c r="E78" s="8">
        <v>0.18353721681927654</v>
      </c>
      <c r="F78" s="7">
        <f>(C78-1)*100/($C$4-1)</f>
        <v>47.929067777630522</v>
      </c>
      <c r="G78" s="6">
        <v>2.26667</v>
      </c>
      <c r="H78" s="2">
        <v>87</v>
      </c>
      <c r="I78" s="6">
        <v>2.1333299999999999</v>
      </c>
      <c r="J78" s="2">
        <v>104</v>
      </c>
      <c r="K78" s="6">
        <v>2.61538</v>
      </c>
      <c r="L78" s="2">
        <v>73</v>
      </c>
      <c r="M78" s="6">
        <v>2.5</v>
      </c>
      <c r="N78" s="2">
        <v>79</v>
      </c>
      <c r="O78" s="6">
        <v>2.4285700000000001</v>
      </c>
      <c r="P78" s="2">
        <v>90</v>
      </c>
      <c r="Q78" s="6">
        <v>3</v>
      </c>
      <c r="R78" s="2">
        <v>65</v>
      </c>
      <c r="S78" s="6">
        <v>3.2307700000000001</v>
      </c>
      <c r="T78" s="2">
        <v>64</v>
      </c>
    </row>
    <row r="79" spans="1:20">
      <c r="A79" s="2" t="s">
        <v>149</v>
      </c>
      <c r="B79" s="2" t="s">
        <v>148</v>
      </c>
      <c r="C79" s="6">
        <v>2.521264843731382</v>
      </c>
      <c r="D79" s="2">
        <v>76</v>
      </c>
      <c r="E79" s="8">
        <v>0.16952439084675303</v>
      </c>
      <c r="F79" s="7">
        <f>(C79-1)*100/($C$4-1)</f>
        <v>47.683534143930373</v>
      </c>
      <c r="G79" s="6">
        <v>2.3333300000000001</v>
      </c>
      <c r="H79" s="2">
        <v>81</v>
      </c>
      <c r="I79" s="6">
        <v>2.1538499999999998</v>
      </c>
      <c r="J79" s="2">
        <v>100</v>
      </c>
      <c r="K79" s="6">
        <v>2.7857099999999999</v>
      </c>
      <c r="L79" s="2">
        <v>60</v>
      </c>
      <c r="M79" s="6">
        <v>2.30769</v>
      </c>
      <c r="N79" s="2">
        <v>104</v>
      </c>
      <c r="O79" s="6">
        <v>2.61538</v>
      </c>
      <c r="P79" s="2">
        <v>73</v>
      </c>
      <c r="Q79" s="6">
        <v>2.75</v>
      </c>
      <c r="R79" s="2">
        <v>108</v>
      </c>
      <c r="S79" s="6">
        <v>2.9166699999999999</v>
      </c>
      <c r="T79" s="2">
        <v>89</v>
      </c>
    </row>
    <row r="80" spans="1:20">
      <c r="A80" s="2" t="s">
        <v>147</v>
      </c>
      <c r="B80" s="2" t="s">
        <v>146</v>
      </c>
      <c r="C80" s="6">
        <v>2.5180429341268864</v>
      </c>
      <c r="D80" s="2">
        <v>77</v>
      </c>
      <c r="E80" s="8">
        <v>0.31615470221107855</v>
      </c>
      <c r="F80" s="7">
        <f>(C80-1)*100/($C$4-1)</f>
        <v>47.582544472560734</v>
      </c>
      <c r="G80" s="6">
        <v>2.25</v>
      </c>
      <c r="H80" s="2">
        <v>89</v>
      </c>
      <c r="I80" s="6">
        <v>2.3333300000000001</v>
      </c>
      <c r="J80" s="2">
        <v>76</v>
      </c>
      <c r="K80" s="6">
        <v>2.6666699999999999</v>
      </c>
      <c r="L80" s="2">
        <v>69</v>
      </c>
      <c r="M80" s="6">
        <v>3</v>
      </c>
      <c r="N80" s="2">
        <v>46</v>
      </c>
      <c r="O80" s="6">
        <v>2.3333300000000001</v>
      </c>
      <c r="P80" s="2">
        <v>99</v>
      </c>
      <c r="Q80" s="6">
        <v>3</v>
      </c>
      <c r="R80" s="2">
        <v>67</v>
      </c>
      <c r="S80" s="6">
        <v>2.5</v>
      </c>
      <c r="T80" s="2">
        <v>132</v>
      </c>
    </row>
    <row r="81" spans="1:20">
      <c r="A81" s="2" t="s">
        <v>145</v>
      </c>
      <c r="B81" s="2" t="s">
        <v>144</v>
      </c>
      <c r="C81" s="6">
        <v>2.5096189164947669</v>
      </c>
      <c r="D81" s="2">
        <v>78</v>
      </c>
      <c r="E81" s="8">
        <v>0.19592631464762691</v>
      </c>
      <c r="F81" s="7">
        <f>(C81-1)*100/($C$4-1)</f>
        <v>47.31849647720643</v>
      </c>
      <c r="G81" s="6">
        <v>2.5</v>
      </c>
      <c r="H81" s="2">
        <v>62</v>
      </c>
      <c r="I81" s="6">
        <v>2.4444400000000002</v>
      </c>
      <c r="J81" s="2">
        <v>66</v>
      </c>
      <c r="K81" s="6">
        <v>2.5882399999999999</v>
      </c>
      <c r="L81" s="2">
        <v>78</v>
      </c>
      <c r="M81" s="6">
        <v>2.6875</v>
      </c>
      <c r="N81" s="2">
        <v>66</v>
      </c>
      <c r="O81" s="6">
        <v>2</v>
      </c>
      <c r="P81" s="2">
        <v>125</v>
      </c>
      <c r="Q81" s="6">
        <v>2.9333300000000002</v>
      </c>
      <c r="R81" s="2">
        <v>75</v>
      </c>
      <c r="S81" s="6">
        <v>2.8</v>
      </c>
      <c r="T81" s="2">
        <v>106</v>
      </c>
    </row>
    <row r="82" spans="1:20">
      <c r="A82" s="2" t="s">
        <v>143</v>
      </c>
      <c r="B82" s="2" t="s">
        <v>142</v>
      </c>
      <c r="C82" s="6">
        <v>2.5085200524759643</v>
      </c>
      <c r="D82" s="2">
        <v>79</v>
      </c>
      <c r="E82" s="8">
        <v>0.10294116291261594</v>
      </c>
      <c r="F82" s="7">
        <f>(C82-1)*100/($C$4-1)</f>
        <v>47.284052954649511</v>
      </c>
      <c r="G82" s="6">
        <v>2.2857099999999999</v>
      </c>
      <c r="H82" s="2">
        <v>86</v>
      </c>
      <c r="I82" s="6">
        <v>2.3809499999999999</v>
      </c>
      <c r="J82" s="2">
        <v>70</v>
      </c>
      <c r="K82" s="6">
        <v>2.4</v>
      </c>
      <c r="L82" s="2">
        <v>100</v>
      </c>
      <c r="M82" s="6">
        <v>2.4500000000000002</v>
      </c>
      <c r="N82" s="2">
        <v>85</v>
      </c>
      <c r="O82" s="6">
        <v>2.5714299999999999</v>
      </c>
      <c r="P82" s="2">
        <v>77</v>
      </c>
      <c r="Q82" s="6">
        <v>2.7777799999999999</v>
      </c>
      <c r="R82" s="2">
        <v>103</v>
      </c>
      <c r="S82" s="6">
        <v>3</v>
      </c>
      <c r="T82" s="2">
        <v>82</v>
      </c>
    </row>
    <row r="83" spans="1:20">
      <c r="A83" s="2" t="s">
        <v>141</v>
      </c>
      <c r="B83" s="2" t="s">
        <v>140</v>
      </c>
      <c r="C83" s="6">
        <v>2.4983529192589682</v>
      </c>
      <c r="D83" s="2">
        <v>80</v>
      </c>
      <c r="E83" s="8">
        <v>0.11056518079124807</v>
      </c>
      <c r="F83" s="7">
        <f>(C83-1)*100/($C$4-1)</f>
        <v>46.965367588392454</v>
      </c>
      <c r="G83" s="6">
        <v>2.48387</v>
      </c>
      <c r="H83" s="2">
        <v>65</v>
      </c>
      <c r="I83" s="6">
        <v>2.3225799999999999</v>
      </c>
      <c r="J83" s="2">
        <v>79</v>
      </c>
      <c r="K83" s="6">
        <v>2.4827599999999999</v>
      </c>
      <c r="L83" s="2">
        <v>93</v>
      </c>
      <c r="M83" s="6">
        <v>2.40741</v>
      </c>
      <c r="N83" s="2">
        <v>91</v>
      </c>
      <c r="O83" s="6">
        <v>2.40741</v>
      </c>
      <c r="P83" s="2">
        <v>91</v>
      </c>
      <c r="Q83" s="6">
        <v>2.88462</v>
      </c>
      <c r="R83" s="2">
        <v>85</v>
      </c>
      <c r="S83" s="6">
        <v>2.88462</v>
      </c>
      <c r="T83" s="2">
        <v>92</v>
      </c>
    </row>
    <row r="84" spans="1:20">
      <c r="A84" s="2" t="s">
        <v>139</v>
      </c>
      <c r="B84" s="2" t="s">
        <v>138</v>
      </c>
      <c r="C84" s="6">
        <v>2.4978864119284441</v>
      </c>
      <c r="D84" s="2">
        <v>81</v>
      </c>
      <c r="E84" s="8">
        <v>0.12291880145323099</v>
      </c>
      <c r="F84" s="7">
        <f>(C84-1)*100/($C$4-1)</f>
        <v>46.950745073243233</v>
      </c>
      <c r="G84" s="6">
        <v>2.19048</v>
      </c>
      <c r="H84" s="2">
        <v>104</v>
      </c>
      <c r="I84" s="6">
        <v>2.2999999999999998</v>
      </c>
      <c r="J84" s="2">
        <v>81</v>
      </c>
      <c r="K84" s="6">
        <v>2.4736799999999999</v>
      </c>
      <c r="L84" s="2">
        <v>95</v>
      </c>
      <c r="M84" s="6">
        <v>2.4736799999999999</v>
      </c>
      <c r="N84" s="2">
        <v>82</v>
      </c>
      <c r="O84" s="6">
        <v>2.5263200000000001</v>
      </c>
      <c r="P84" s="2">
        <v>81</v>
      </c>
      <c r="Q84" s="6">
        <v>3.2105299999999999</v>
      </c>
      <c r="R84" s="2">
        <v>27</v>
      </c>
      <c r="S84" s="6">
        <v>3.0526300000000002</v>
      </c>
      <c r="T84" s="2">
        <v>74</v>
      </c>
    </row>
    <row r="85" spans="1:20">
      <c r="A85" s="2" t="s">
        <v>137</v>
      </c>
      <c r="B85" s="2" t="s">
        <v>136</v>
      </c>
      <c r="C85" s="6">
        <v>2.4972827604589547</v>
      </c>
      <c r="D85" s="2">
        <v>82</v>
      </c>
      <c r="E85" s="8">
        <v>9.6941915207599261E-2</v>
      </c>
      <c r="F85" s="7">
        <f>(C85-1)*100/($C$4-1)</f>
        <v>46.93182382125017</v>
      </c>
      <c r="G85" s="6">
        <v>2.10256</v>
      </c>
      <c r="H85" s="2">
        <v>116</v>
      </c>
      <c r="I85" s="6">
        <v>2.2820499999999999</v>
      </c>
      <c r="J85" s="2">
        <v>85</v>
      </c>
      <c r="K85" s="6">
        <v>2.61111</v>
      </c>
      <c r="L85" s="2">
        <v>74</v>
      </c>
      <c r="M85" s="6">
        <v>2.4444400000000002</v>
      </c>
      <c r="N85" s="2">
        <v>86</v>
      </c>
      <c r="O85" s="6">
        <v>2.6285699999999999</v>
      </c>
      <c r="P85" s="2">
        <v>71</v>
      </c>
      <c r="Q85" s="6">
        <v>2.9117600000000001</v>
      </c>
      <c r="R85" s="2">
        <v>80</v>
      </c>
      <c r="S85" s="6">
        <v>2.9393899999999999</v>
      </c>
      <c r="T85" s="2">
        <v>87</v>
      </c>
    </row>
    <row r="86" spans="1:20">
      <c r="A86" s="2" t="s">
        <v>135</v>
      </c>
      <c r="B86" s="2" t="s">
        <v>134</v>
      </c>
      <c r="C86" s="6">
        <v>2.4905074597924957</v>
      </c>
      <c r="D86" s="2">
        <v>83</v>
      </c>
      <c r="E86" s="8">
        <v>0.15963362077877102</v>
      </c>
      <c r="F86" s="7">
        <f>(C86-1)*100/($C$4-1)</f>
        <v>46.719454303874052</v>
      </c>
      <c r="G86" s="6">
        <v>2.2142900000000001</v>
      </c>
      <c r="H86" s="2">
        <v>99</v>
      </c>
      <c r="I86" s="6">
        <v>2.1666699999999999</v>
      </c>
      <c r="J86" s="2">
        <v>99</v>
      </c>
      <c r="K86" s="6">
        <v>2.4166699999999999</v>
      </c>
      <c r="L86" s="2">
        <v>98</v>
      </c>
      <c r="M86" s="6">
        <v>2.5454500000000002</v>
      </c>
      <c r="N86" s="2">
        <v>77</v>
      </c>
      <c r="O86" s="6">
        <v>2.3333300000000001</v>
      </c>
      <c r="P86" s="2">
        <v>100</v>
      </c>
      <c r="Q86" s="6">
        <v>3.625</v>
      </c>
      <c r="R86" s="2">
        <v>3</v>
      </c>
      <c r="S86" s="6">
        <v>3.2857099999999999</v>
      </c>
      <c r="T86" s="2">
        <v>56</v>
      </c>
    </row>
    <row r="87" spans="1:20">
      <c r="A87" s="2" t="s">
        <v>133</v>
      </c>
      <c r="B87" s="2" t="s">
        <v>132</v>
      </c>
      <c r="C87" s="6">
        <v>2.4887650231389999</v>
      </c>
      <c r="D87" s="2">
        <v>84</v>
      </c>
      <c r="E87" s="8">
        <v>0.24542471182591424</v>
      </c>
      <c r="F87" s="7">
        <f>(C87-1)*100/($C$4-1)</f>
        <v>46.66483821384675</v>
      </c>
      <c r="G87" s="6">
        <v>2.5714299999999999</v>
      </c>
      <c r="H87" s="2">
        <v>57</v>
      </c>
      <c r="I87" s="6">
        <v>2</v>
      </c>
      <c r="J87" s="2">
        <v>114</v>
      </c>
      <c r="K87" s="6">
        <v>2.3333300000000001</v>
      </c>
      <c r="L87" s="2">
        <v>110</v>
      </c>
      <c r="M87" s="6">
        <v>2.25</v>
      </c>
      <c r="N87" s="2">
        <v>109</v>
      </c>
      <c r="O87" s="6">
        <v>2.5</v>
      </c>
      <c r="P87" s="2">
        <v>85</v>
      </c>
      <c r="Q87" s="6">
        <v>3</v>
      </c>
      <c r="R87" s="2">
        <v>64</v>
      </c>
      <c r="S87" s="6">
        <v>3.2857099999999999</v>
      </c>
      <c r="T87" s="2">
        <v>57</v>
      </c>
    </row>
    <row r="88" spans="1:20">
      <c r="A88" s="2" t="s">
        <v>131</v>
      </c>
      <c r="B88" s="2" t="s">
        <v>130</v>
      </c>
      <c r="C88" s="6">
        <v>2.4779262638426469</v>
      </c>
      <c r="D88" s="2">
        <v>85</v>
      </c>
      <c r="E88" s="8">
        <v>0.15195742600863216</v>
      </c>
      <c r="F88" s="7">
        <f>(C88-1)*100/($C$4-1)</f>
        <v>46.325100954345103</v>
      </c>
      <c r="G88" s="6">
        <v>2.2999999999999998</v>
      </c>
      <c r="H88" s="2">
        <v>85</v>
      </c>
      <c r="I88" s="6">
        <v>2.4615399999999998</v>
      </c>
      <c r="J88" s="2">
        <v>65</v>
      </c>
      <c r="K88" s="6">
        <v>2.3333300000000001</v>
      </c>
      <c r="L88" s="2">
        <v>108</v>
      </c>
      <c r="M88" s="6">
        <v>2.6363599999999998</v>
      </c>
      <c r="N88" s="2">
        <v>72</v>
      </c>
      <c r="O88" s="6">
        <v>2.5</v>
      </c>
      <c r="P88" s="2">
        <v>83</v>
      </c>
      <c r="Q88" s="6">
        <v>3</v>
      </c>
      <c r="R88" s="2">
        <v>62</v>
      </c>
      <c r="S88" s="6">
        <v>2.6666699999999999</v>
      </c>
      <c r="T88" s="2">
        <v>117</v>
      </c>
    </row>
    <row r="89" spans="1:20">
      <c r="A89" s="2" t="s">
        <v>129</v>
      </c>
      <c r="B89" s="2" t="s">
        <v>128</v>
      </c>
      <c r="C89" s="6">
        <v>2.4775219737838796</v>
      </c>
      <c r="D89" s="2">
        <v>86</v>
      </c>
      <c r="E89" s="8">
        <v>0.22426690035914715</v>
      </c>
      <c r="F89" s="7">
        <f>(C89-1)*100/($C$4-1)</f>
        <v>46.312428618623471</v>
      </c>
      <c r="G89" s="6">
        <v>2.4</v>
      </c>
      <c r="H89" s="2">
        <v>71</v>
      </c>
      <c r="I89" s="6">
        <v>2.25</v>
      </c>
      <c r="J89" s="2">
        <v>88</v>
      </c>
      <c r="K89" s="6">
        <v>2.5</v>
      </c>
      <c r="L89" s="2">
        <v>87</v>
      </c>
      <c r="M89" s="6">
        <v>2.5</v>
      </c>
      <c r="N89" s="2">
        <v>81</v>
      </c>
      <c r="O89" s="6">
        <v>2.375</v>
      </c>
      <c r="P89" s="2">
        <v>94</v>
      </c>
      <c r="Q89" s="6">
        <v>3</v>
      </c>
      <c r="R89" s="2">
        <v>66</v>
      </c>
      <c r="S89" s="6">
        <v>2.8333300000000001</v>
      </c>
      <c r="T89" s="2">
        <v>100</v>
      </c>
    </row>
    <row r="90" spans="1:20">
      <c r="A90" s="2" t="s">
        <v>127</v>
      </c>
      <c r="B90" s="2" t="s">
        <v>126</v>
      </c>
      <c r="C90" s="6">
        <v>2.4713879645426724</v>
      </c>
      <c r="D90" s="2">
        <v>87</v>
      </c>
      <c r="E90" s="8">
        <v>0.17518882534031407</v>
      </c>
      <c r="F90" s="7">
        <f>(C90-1)*100/($C$4-1)</f>
        <v>46.120160164976134</v>
      </c>
      <c r="G90" s="6">
        <v>2</v>
      </c>
      <c r="H90" s="2">
        <v>125</v>
      </c>
      <c r="I90" s="6">
        <v>2.2857099999999999</v>
      </c>
      <c r="J90" s="2">
        <v>82</v>
      </c>
      <c r="K90" s="6">
        <v>2.4615399999999998</v>
      </c>
      <c r="L90" s="2">
        <v>96</v>
      </c>
      <c r="M90" s="6">
        <v>2.3333300000000001</v>
      </c>
      <c r="N90" s="2">
        <v>103</v>
      </c>
      <c r="O90" s="6">
        <v>2.4615399999999998</v>
      </c>
      <c r="P90" s="2">
        <v>88</v>
      </c>
      <c r="Q90" s="6">
        <v>3.0833300000000001</v>
      </c>
      <c r="R90" s="2">
        <v>48</v>
      </c>
      <c r="S90" s="6">
        <v>3.3333300000000001</v>
      </c>
      <c r="T90" s="2">
        <v>54</v>
      </c>
    </row>
    <row r="91" spans="1:20">
      <c r="A91" s="2" t="s">
        <v>125</v>
      </c>
      <c r="B91" s="2" t="s">
        <v>124</v>
      </c>
      <c r="C91" s="6">
        <v>2.456929170279996</v>
      </c>
      <c r="D91" s="2">
        <v>88</v>
      </c>
      <c r="E91" s="8">
        <v>0.16821494317179775</v>
      </c>
      <c r="F91" s="7">
        <f>(C91-1)*100/($C$4-1)</f>
        <v>45.666954128732442</v>
      </c>
      <c r="G91" s="6">
        <v>2.3157899999999998</v>
      </c>
      <c r="H91" s="2">
        <v>84</v>
      </c>
      <c r="I91" s="6">
        <v>2.2631600000000001</v>
      </c>
      <c r="J91" s="2">
        <v>86</v>
      </c>
      <c r="K91" s="6">
        <v>2.5</v>
      </c>
      <c r="L91" s="2">
        <v>86</v>
      </c>
      <c r="M91" s="6">
        <v>2.36842</v>
      </c>
      <c r="N91" s="2">
        <v>98</v>
      </c>
      <c r="O91" s="6">
        <v>2.2941199999999999</v>
      </c>
      <c r="P91" s="2">
        <v>105</v>
      </c>
      <c r="Q91" s="6">
        <v>3.4117600000000001</v>
      </c>
      <c r="R91" s="2">
        <v>9</v>
      </c>
      <c r="S91" s="6">
        <v>3</v>
      </c>
      <c r="T91" s="2">
        <v>77</v>
      </c>
    </row>
    <row r="92" spans="1:20">
      <c r="A92" s="2" t="s">
        <v>123</v>
      </c>
      <c r="B92" s="2" t="s">
        <v>122</v>
      </c>
      <c r="C92" s="6">
        <v>2.4455603285186007</v>
      </c>
      <c r="D92" s="2">
        <v>89</v>
      </c>
      <c r="E92" s="8">
        <v>0.21102212590121366</v>
      </c>
      <c r="F92" s="7">
        <f>(C92-1)*100/($C$4-1)</f>
        <v>45.310601612903078</v>
      </c>
      <c r="G92" s="6">
        <v>1.8</v>
      </c>
      <c r="H92" s="2">
        <v>142</v>
      </c>
      <c r="I92" s="6">
        <v>1.88889</v>
      </c>
      <c r="J92" s="2">
        <v>134</v>
      </c>
      <c r="K92" s="6">
        <v>2.7777799999999999</v>
      </c>
      <c r="L92" s="2">
        <v>62</v>
      </c>
      <c r="M92" s="6">
        <v>2.5555599999999998</v>
      </c>
      <c r="N92" s="2">
        <v>75</v>
      </c>
      <c r="O92" s="6">
        <v>2.88889</v>
      </c>
      <c r="P92" s="2">
        <v>54</v>
      </c>
      <c r="Q92" s="6">
        <v>3.2222200000000001</v>
      </c>
      <c r="R92" s="2">
        <v>24</v>
      </c>
      <c r="S92" s="6">
        <v>2.7777799999999999</v>
      </c>
      <c r="T92" s="2">
        <v>107</v>
      </c>
    </row>
    <row r="93" spans="1:20">
      <c r="A93" s="2" t="s">
        <v>121</v>
      </c>
      <c r="B93" s="2" t="s">
        <v>120</v>
      </c>
      <c r="C93" s="6">
        <v>2.434143689987982</v>
      </c>
      <c r="D93" s="2">
        <v>90</v>
      </c>
      <c r="E93" s="8">
        <v>0.2423927126082244</v>
      </c>
      <c r="F93" s="7">
        <f>(C93-1)*100/($C$4-1)</f>
        <v>44.952750923441023</v>
      </c>
      <c r="G93" s="6">
        <v>2</v>
      </c>
      <c r="H93" s="2">
        <v>126</v>
      </c>
      <c r="I93" s="6">
        <v>2.2857099999999999</v>
      </c>
      <c r="J93" s="2">
        <v>83</v>
      </c>
      <c r="K93" s="6">
        <v>2.6666699999999999</v>
      </c>
      <c r="L93" s="2">
        <v>70</v>
      </c>
      <c r="M93" s="6">
        <v>2.3333300000000001</v>
      </c>
      <c r="N93" s="2">
        <v>101</v>
      </c>
      <c r="O93" s="6">
        <v>2.5</v>
      </c>
      <c r="P93" s="2">
        <v>84</v>
      </c>
      <c r="Q93" s="6">
        <v>3</v>
      </c>
      <c r="R93" s="2">
        <v>63</v>
      </c>
      <c r="S93" s="6">
        <v>2.8333300000000001</v>
      </c>
      <c r="T93" s="2">
        <v>99</v>
      </c>
    </row>
    <row r="94" spans="1:20">
      <c r="A94" s="2" t="s">
        <v>119</v>
      </c>
      <c r="B94" s="2" t="s">
        <v>118</v>
      </c>
      <c r="C94" s="6">
        <v>2.4195330866685101</v>
      </c>
      <c r="D94" s="2">
        <v>91</v>
      </c>
      <c r="E94" s="8">
        <v>0.26470819640593513</v>
      </c>
      <c r="F94" s="7">
        <f>(C94-1)*100/($C$4-1)</f>
        <v>44.494786483443427</v>
      </c>
      <c r="G94" s="6">
        <v>2.25</v>
      </c>
      <c r="H94" s="2">
        <v>90</v>
      </c>
      <c r="I94" s="6">
        <v>2.125</v>
      </c>
      <c r="J94" s="2">
        <v>106</v>
      </c>
      <c r="K94" s="6">
        <v>2.5555599999999998</v>
      </c>
      <c r="L94" s="2">
        <v>81</v>
      </c>
      <c r="M94" s="6">
        <v>2.5555599999999998</v>
      </c>
      <c r="N94" s="2">
        <v>76</v>
      </c>
      <c r="O94" s="6">
        <v>2</v>
      </c>
      <c r="P94" s="2">
        <v>126</v>
      </c>
      <c r="Q94" s="6">
        <v>3.125</v>
      </c>
      <c r="R94" s="2">
        <v>39</v>
      </c>
      <c r="S94" s="6">
        <v>3</v>
      </c>
      <c r="T94" s="2">
        <v>79</v>
      </c>
    </row>
    <row r="95" spans="1:20">
      <c r="A95" s="2" t="s">
        <v>117</v>
      </c>
      <c r="B95" s="2" t="s">
        <v>116</v>
      </c>
      <c r="C95" s="6">
        <v>2.3996116105141758</v>
      </c>
      <c r="D95" s="2">
        <v>92</v>
      </c>
      <c r="E95" s="8">
        <v>0.14031264165008484</v>
      </c>
      <c r="F95" s="7">
        <f>(C95-1)*100/($C$4-1)</f>
        <v>43.870354523211766</v>
      </c>
      <c r="G95" s="6">
        <v>2.25</v>
      </c>
      <c r="H95" s="2">
        <v>91</v>
      </c>
      <c r="I95" s="6">
        <v>2.1333299999999999</v>
      </c>
      <c r="J95" s="2">
        <v>105</v>
      </c>
      <c r="K95" s="6">
        <v>2.30769</v>
      </c>
      <c r="L95" s="2">
        <v>112</v>
      </c>
      <c r="M95" s="6">
        <v>2.4545499999999998</v>
      </c>
      <c r="N95" s="2">
        <v>84</v>
      </c>
      <c r="O95" s="6">
        <v>2.5833300000000001</v>
      </c>
      <c r="P95" s="2">
        <v>75</v>
      </c>
      <c r="Q95" s="6">
        <v>3.0833300000000001</v>
      </c>
      <c r="R95" s="2">
        <v>47</v>
      </c>
      <c r="S95" s="6">
        <v>2.69231</v>
      </c>
      <c r="T95" s="2">
        <v>113</v>
      </c>
    </row>
    <row r="96" spans="1:20">
      <c r="A96" s="2" t="s">
        <v>115</v>
      </c>
      <c r="B96" s="2" t="s">
        <v>114</v>
      </c>
      <c r="C96" s="6">
        <v>2.3963117324298837</v>
      </c>
      <c r="D96" s="2">
        <v>93</v>
      </c>
      <c r="E96" s="8">
        <v>8.9721529253013355E-2</v>
      </c>
      <c r="F96" s="7">
        <f>(C96-1)*100/($C$4-1)</f>
        <v>43.76692095610376</v>
      </c>
      <c r="G96" s="6">
        <v>2.2272699999999999</v>
      </c>
      <c r="H96" s="2">
        <v>96</v>
      </c>
      <c r="I96" s="6">
        <v>2.2340399999999998</v>
      </c>
      <c r="J96" s="2">
        <v>92</v>
      </c>
      <c r="K96" s="6">
        <v>2.4883700000000002</v>
      </c>
      <c r="L96" s="2">
        <v>92</v>
      </c>
      <c r="M96" s="6">
        <v>2.3809499999999999</v>
      </c>
      <c r="N96" s="2">
        <v>96</v>
      </c>
      <c r="O96" s="6">
        <v>2.3555600000000001</v>
      </c>
      <c r="P96" s="2">
        <v>97</v>
      </c>
      <c r="Q96" s="6">
        <v>2.9</v>
      </c>
      <c r="R96" s="2">
        <v>83</v>
      </c>
      <c r="S96" s="6">
        <v>2.69048</v>
      </c>
      <c r="T96" s="2">
        <v>114</v>
      </c>
    </row>
    <row r="97" spans="1:20">
      <c r="A97" s="2" t="s">
        <v>113</v>
      </c>
      <c r="B97" s="2" t="s">
        <v>112</v>
      </c>
      <c r="C97" s="6">
        <v>2.3835035561407341</v>
      </c>
      <c r="D97" s="2">
        <v>94</v>
      </c>
      <c r="E97" s="8">
        <v>0.21692108190077872</v>
      </c>
      <c r="F97" s="7">
        <f>(C97-1)*100/($C$4-1)</f>
        <v>43.365452984289519</v>
      </c>
      <c r="G97" s="6">
        <v>2.2000000000000002</v>
      </c>
      <c r="H97" s="2">
        <v>101</v>
      </c>
      <c r="I97" s="6">
        <v>2.3333300000000001</v>
      </c>
      <c r="J97" s="2">
        <v>77</v>
      </c>
      <c r="K97" s="6">
        <v>2.75</v>
      </c>
      <c r="L97" s="2">
        <v>64</v>
      </c>
      <c r="M97" s="6">
        <v>2.125</v>
      </c>
      <c r="N97" s="2">
        <v>119</v>
      </c>
      <c r="O97" s="6">
        <v>2</v>
      </c>
      <c r="P97" s="2">
        <v>130</v>
      </c>
      <c r="Q97" s="6">
        <v>2.375</v>
      </c>
      <c r="R97" s="2">
        <v>133</v>
      </c>
      <c r="S97" s="6">
        <v>2.8571399999999998</v>
      </c>
      <c r="T97" s="2">
        <v>95</v>
      </c>
    </row>
    <row r="98" spans="1:20">
      <c r="A98" s="2" t="s">
        <v>111</v>
      </c>
      <c r="B98" s="2" t="s">
        <v>110</v>
      </c>
      <c r="C98" s="6">
        <v>2.3807305288081109</v>
      </c>
      <c r="D98" s="2">
        <v>95</v>
      </c>
      <c r="E98" s="8">
        <v>0.23594188895591953</v>
      </c>
      <c r="F98" s="7">
        <f>(C98-1)*100/($C$4-1)</f>
        <v>43.278533376542015</v>
      </c>
      <c r="G98" s="6">
        <v>2</v>
      </c>
      <c r="H98" s="2">
        <v>127</v>
      </c>
      <c r="I98" s="6">
        <v>2</v>
      </c>
      <c r="J98" s="2">
        <v>123</v>
      </c>
      <c r="K98" s="6">
        <v>2.5714299999999999</v>
      </c>
      <c r="L98" s="2">
        <v>80</v>
      </c>
      <c r="M98" s="6">
        <v>2.2857099999999999</v>
      </c>
      <c r="N98" s="2">
        <v>105</v>
      </c>
      <c r="O98" s="6">
        <v>2.2857099999999999</v>
      </c>
      <c r="P98" s="2">
        <v>106</v>
      </c>
      <c r="Q98" s="6">
        <v>3.4285700000000001</v>
      </c>
      <c r="R98" s="2">
        <v>7</v>
      </c>
      <c r="S98" s="6">
        <v>3.1428600000000002</v>
      </c>
      <c r="T98" s="2">
        <v>69</v>
      </c>
    </row>
    <row r="99" spans="1:20">
      <c r="A99" s="2" t="s">
        <v>109</v>
      </c>
      <c r="B99" s="2" t="s">
        <v>108</v>
      </c>
      <c r="C99" s="6">
        <v>2.3801819522522498</v>
      </c>
      <c r="D99" s="2">
        <v>96</v>
      </c>
      <c r="E99" s="8">
        <v>9.7789345775366895E-2</v>
      </c>
      <c r="F99" s="7">
        <f>(C99-1)*100/($C$4-1)</f>
        <v>43.261338429166649</v>
      </c>
      <c r="G99" s="6">
        <v>2.3333300000000001</v>
      </c>
      <c r="H99" s="2">
        <v>82</v>
      </c>
      <c r="I99" s="6">
        <v>2.1842100000000002</v>
      </c>
      <c r="J99" s="2">
        <v>97</v>
      </c>
      <c r="K99" s="6">
        <v>2.3421099999999999</v>
      </c>
      <c r="L99" s="2">
        <v>107</v>
      </c>
      <c r="M99" s="6">
        <v>2.25</v>
      </c>
      <c r="N99" s="2">
        <v>108</v>
      </c>
      <c r="O99" s="6">
        <v>2.2820499999999999</v>
      </c>
      <c r="P99" s="2">
        <v>107</v>
      </c>
      <c r="Q99" s="6">
        <v>3.0512800000000002</v>
      </c>
      <c r="R99" s="2">
        <v>54</v>
      </c>
      <c r="S99" s="6">
        <v>2.8947400000000001</v>
      </c>
      <c r="T99" s="2">
        <v>90</v>
      </c>
    </row>
    <row r="100" spans="1:20">
      <c r="A100" s="2" t="s">
        <v>107</v>
      </c>
      <c r="B100" s="2" t="s">
        <v>106</v>
      </c>
      <c r="C100" s="6">
        <v>2.3708355112886261</v>
      </c>
      <c r="D100" s="2">
        <v>97</v>
      </c>
      <c r="E100" s="8">
        <v>0.23501940272162841</v>
      </c>
      <c r="F100" s="7">
        <f>(C100-1)*100/($C$4-1)</f>
        <v>42.968377385171159</v>
      </c>
      <c r="G100" s="6">
        <v>2.0769199999999999</v>
      </c>
      <c r="H100" s="2">
        <v>122</v>
      </c>
      <c r="I100" s="6">
        <v>2</v>
      </c>
      <c r="J100" s="2">
        <v>121</v>
      </c>
      <c r="K100" s="6">
        <v>2.3333300000000001</v>
      </c>
      <c r="L100" s="2">
        <v>111</v>
      </c>
      <c r="M100" s="6">
        <v>2.38462</v>
      </c>
      <c r="N100" s="2">
        <v>95</v>
      </c>
      <c r="O100" s="6">
        <v>2.61538</v>
      </c>
      <c r="P100" s="2">
        <v>72</v>
      </c>
      <c r="Q100" s="6">
        <v>2.8333300000000001</v>
      </c>
      <c r="R100" s="2">
        <v>94</v>
      </c>
      <c r="S100" s="6">
        <v>2.8461500000000002</v>
      </c>
      <c r="T100" s="2">
        <v>96</v>
      </c>
    </row>
    <row r="101" spans="1:20">
      <c r="A101" s="2" t="s">
        <v>105</v>
      </c>
      <c r="B101" s="2" t="s">
        <v>104</v>
      </c>
      <c r="C101" s="6">
        <v>2.3693405043876279</v>
      </c>
      <c r="D101" s="2">
        <v>98</v>
      </c>
      <c r="E101" s="8">
        <v>0.31184445697589219</v>
      </c>
      <c r="F101" s="7">
        <f>(C101-1)*100/($C$4-1)</f>
        <v>42.92151689739817</v>
      </c>
      <c r="G101" s="6">
        <v>2.1666699999999999</v>
      </c>
      <c r="H101" s="2">
        <v>107</v>
      </c>
      <c r="I101" s="6">
        <v>2.1428600000000002</v>
      </c>
      <c r="J101" s="2">
        <v>102</v>
      </c>
      <c r="K101" s="6">
        <v>2.5</v>
      </c>
      <c r="L101" s="2">
        <v>88</v>
      </c>
      <c r="M101" s="6">
        <v>2.4</v>
      </c>
      <c r="N101" s="2">
        <v>93</v>
      </c>
      <c r="O101" s="6">
        <v>2.3333300000000001</v>
      </c>
      <c r="P101" s="2">
        <v>101</v>
      </c>
      <c r="Q101" s="6">
        <v>3.4</v>
      </c>
      <c r="R101" s="2">
        <v>11</v>
      </c>
      <c r="S101" s="6">
        <v>2.6666699999999999</v>
      </c>
      <c r="T101" s="2">
        <v>115</v>
      </c>
    </row>
    <row r="102" spans="1:20">
      <c r="A102" s="2" t="s">
        <v>103</v>
      </c>
      <c r="B102" s="2" t="s">
        <v>102</v>
      </c>
      <c r="C102" s="6">
        <v>2.368381310132528</v>
      </c>
      <c r="D102" s="2">
        <v>99</v>
      </c>
      <c r="E102" s="8">
        <v>5.7900497427601602E-2</v>
      </c>
      <c r="F102" s="7">
        <f>(C102-1)*100/($C$4-1)</f>
        <v>42.891451276541815</v>
      </c>
      <c r="G102" s="6">
        <v>1.9396599999999999</v>
      </c>
      <c r="H102" s="2">
        <v>137</v>
      </c>
      <c r="I102" s="6">
        <v>2.2300900000000001</v>
      </c>
      <c r="J102" s="2">
        <v>93</v>
      </c>
      <c r="K102" s="6">
        <v>2.4791699999999999</v>
      </c>
      <c r="L102" s="2">
        <v>94</v>
      </c>
      <c r="M102" s="6">
        <v>2.4574500000000001</v>
      </c>
      <c r="N102" s="2">
        <v>83</v>
      </c>
      <c r="O102" s="6">
        <v>2.1739099999999998</v>
      </c>
      <c r="P102" s="2">
        <v>119</v>
      </c>
      <c r="Q102" s="6">
        <v>2.3956</v>
      </c>
      <c r="R102" s="2">
        <v>131</v>
      </c>
      <c r="S102" s="6">
        <v>2.9425300000000001</v>
      </c>
      <c r="T102" s="2">
        <v>86</v>
      </c>
    </row>
    <row r="103" spans="1:20">
      <c r="A103" s="2" t="s">
        <v>101</v>
      </c>
      <c r="B103" s="2" t="s">
        <v>100</v>
      </c>
      <c r="C103" s="6">
        <v>2.3669973764054641</v>
      </c>
      <c r="D103" s="2">
        <v>100</v>
      </c>
      <c r="E103" s="8">
        <v>0.26703522577974864</v>
      </c>
      <c r="F103" s="7">
        <f>(C103-1)*100/($C$4-1)</f>
        <v>42.848072339994829</v>
      </c>
      <c r="G103" s="6">
        <v>2.0833300000000001</v>
      </c>
      <c r="H103" s="2">
        <v>119</v>
      </c>
      <c r="I103" s="6">
        <v>2</v>
      </c>
      <c r="J103" s="2">
        <v>119</v>
      </c>
      <c r="K103" s="6">
        <v>2.4</v>
      </c>
      <c r="L103" s="2">
        <v>102</v>
      </c>
      <c r="M103" s="6">
        <v>2.4444400000000002</v>
      </c>
      <c r="N103" s="2">
        <v>87</v>
      </c>
      <c r="O103" s="6">
        <v>2.8</v>
      </c>
      <c r="P103" s="2">
        <v>64</v>
      </c>
      <c r="Q103" s="6">
        <v>3.1</v>
      </c>
      <c r="R103" s="2">
        <v>42</v>
      </c>
      <c r="S103" s="6">
        <v>2.5</v>
      </c>
      <c r="T103" s="2">
        <v>130</v>
      </c>
    </row>
    <row r="104" spans="1:20">
      <c r="A104" s="2" t="s">
        <v>99</v>
      </c>
      <c r="B104" s="2" t="s">
        <v>98</v>
      </c>
      <c r="C104" s="6">
        <v>2.3664835611363113</v>
      </c>
      <c r="D104" s="2">
        <v>101</v>
      </c>
      <c r="E104" s="8">
        <v>0.18475299837434173</v>
      </c>
      <c r="F104" s="7">
        <f>(C104-1)*100/($C$4-1)</f>
        <v>42.831966973443258</v>
      </c>
      <c r="G104" s="6">
        <v>2.375</v>
      </c>
      <c r="H104" s="2">
        <v>76</v>
      </c>
      <c r="I104" s="6">
        <v>2.09091</v>
      </c>
      <c r="J104" s="2">
        <v>108</v>
      </c>
      <c r="K104" s="6">
        <v>2.09091</v>
      </c>
      <c r="L104" s="2">
        <v>130</v>
      </c>
      <c r="M104" s="6">
        <v>2.7272699999999999</v>
      </c>
      <c r="N104" s="2">
        <v>62</v>
      </c>
      <c r="O104" s="6">
        <v>2.2999999999999998</v>
      </c>
      <c r="P104" s="2">
        <v>103</v>
      </c>
      <c r="Q104" s="6">
        <v>3.09091</v>
      </c>
      <c r="R104" s="2">
        <v>45</v>
      </c>
      <c r="S104" s="6">
        <v>2.625</v>
      </c>
      <c r="T104" s="2">
        <v>123</v>
      </c>
    </row>
    <row r="105" spans="1:20">
      <c r="A105" s="2" t="s">
        <v>97</v>
      </c>
      <c r="B105" s="2" t="s">
        <v>96</v>
      </c>
      <c r="C105" s="6">
        <v>2.3613462231624363</v>
      </c>
      <c r="D105" s="2">
        <v>102</v>
      </c>
      <c r="E105" s="8">
        <v>0.22625537163526474</v>
      </c>
      <c r="F105" s="7">
        <f>(C105-1)*100/($C$4-1)</f>
        <v>42.670938844977918</v>
      </c>
      <c r="G105" s="6">
        <v>2.2222200000000001</v>
      </c>
      <c r="H105" s="2">
        <v>98</v>
      </c>
      <c r="I105" s="6">
        <v>2.2222200000000001</v>
      </c>
      <c r="J105" s="2">
        <v>94</v>
      </c>
      <c r="K105" s="6">
        <v>2.125</v>
      </c>
      <c r="L105" s="2">
        <v>128</v>
      </c>
      <c r="M105" s="6">
        <v>2.375</v>
      </c>
      <c r="N105" s="2">
        <v>97</v>
      </c>
      <c r="O105" s="6">
        <v>2</v>
      </c>
      <c r="P105" s="2">
        <v>128</v>
      </c>
      <c r="Q105" s="6">
        <v>3</v>
      </c>
      <c r="R105" s="2">
        <v>68</v>
      </c>
      <c r="S105" s="6">
        <v>3.25</v>
      </c>
      <c r="T105" s="2">
        <v>61</v>
      </c>
    </row>
    <row r="106" spans="1:20">
      <c r="A106" s="2" t="s">
        <v>95</v>
      </c>
      <c r="B106" s="2" t="s">
        <v>94</v>
      </c>
      <c r="C106" s="6">
        <v>2.349655024781335</v>
      </c>
      <c r="D106" s="2">
        <v>103</v>
      </c>
      <c r="E106" s="8">
        <v>0.13687681307683244</v>
      </c>
      <c r="F106" s="7">
        <f>(C106-1)*100/($C$4-1)</f>
        <v>42.304482169478</v>
      </c>
      <c r="G106" s="6">
        <v>2.2000000000000002</v>
      </c>
      <c r="H106" s="2">
        <v>102</v>
      </c>
      <c r="I106" s="6">
        <v>2.0588199999999999</v>
      </c>
      <c r="J106" s="2">
        <v>112</v>
      </c>
      <c r="K106" s="6">
        <v>2.3529399999999998</v>
      </c>
      <c r="L106" s="2">
        <v>106</v>
      </c>
      <c r="M106" s="6">
        <v>2.3529399999999998</v>
      </c>
      <c r="N106" s="2">
        <v>100</v>
      </c>
      <c r="O106" s="6">
        <v>2.375</v>
      </c>
      <c r="P106" s="2">
        <v>95</v>
      </c>
      <c r="Q106" s="6">
        <v>2.8</v>
      </c>
      <c r="R106" s="2">
        <v>98</v>
      </c>
      <c r="S106" s="6">
        <v>2.76471</v>
      </c>
      <c r="T106" s="2">
        <v>109</v>
      </c>
    </row>
    <row r="107" spans="1:20">
      <c r="A107" s="2" t="s">
        <v>93</v>
      </c>
      <c r="B107" s="2" t="s">
        <v>92</v>
      </c>
      <c r="C107" s="6">
        <v>2.326745435832871</v>
      </c>
      <c r="D107" s="2">
        <v>104</v>
      </c>
      <c r="E107" s="8">
        <v>0.20548965484634088</v>
      </c>
      <c r="F107" s="7">
        <f>(C107-1)*100/($C$4-1)</f>
        <v>41.586388820151647</v>
      </c>
      <c r="G107" s="6">
        <v>2.1428600000000002</v>
      </c>
      <c r="H107" s="2">
        <v>109</v>
      </c>
      <c r="I107" s="6">
        <v>1.875</v>
      </c>
      <c r="J107" s="2">
        <v>135</v>
      </c>
      <c r="K107" s="6">
        <v>2.4285700000000001</v>
      </c>
      <c r="L107" s="2">
        <v>97</v>
      </c>
      <c r="M107" s="6">
        <v>2</v>
      </c>
      <c r="N107" s="2">
        <v>129</v>
      </c>
      <c r="O107" s="6">
        <v>1.8333299999999999</v>
      </c>
      <c r="P107" s="2">
        <v>141</v>
      </c>
      <c r="Q107" s="6">
        <v>3.1666699999999999</v>
      </c>
      <c r="R107" s="2">
        <v>34</v>
      </c>
      <c r="S107" s="6">
        <v>3.6666699999999999</v>
      </c>
      <c r="T107" s="2">
        <v>37</v>
      </c>
    </row>
    <row r="108" spans="1:20">
      <c r="A108" s="2" t="s">
        <v>91</v>
      </c>
      <c r="B108" s="2" t="s">
        <v>90</v>
      </c>
      <c r="C108" s="6">
        <v>2.3142294716101111</v>
      </c>
      <c r="D108" s="2">
        <v>105</v>
      </c>
      <c r="E108" s="8">
        <v>0.2333213421302168</v>
      </c>
      <c r="F108" s="7">
        <f>(C108-1)*100/($C$4-1)</f>
        <v>41.194080137137369</v>
      </c>
      <c r="G108" s="6">
        <v>2.4</v>
      </c>
      <c r="H108" s="2">
        <v>72</v>
      </c>
      <c r="I108" s="6">
        <v>2.1428600000000002</v>
      </c>
      <c r="J108" s="2">
        <v>101</v>
      </c>
      <c r="K108" s="6">
        <v>2.8333300000000001</v>
      </c>
      <c r="L108" s="2">
        <v>57</v>
      </c>
      <c r="M108" s="6">
        <v>2</v>
      </c>
      <c r="N108" s="2">
        <v>127</v>
      </c>
      <c r="O108" s="6">
        <v>2</v>
      </c>
      <c r="P108" s="2">
        <v>132</v>
      </c>
      <c r="Q108" s="6">
        <v>3.2</v>
      </c>
      <c r="R108" s="2">
        <v>31</v>
      </c>
      <c r="S108" s="6">
        <v>2.4285700000000001</v>
      </c>
      <c r="T108" s="2">
        <v>134</v>
      </c>
    </row>
    <row r="109" spans="1:20">
      <c r="A109" s="2" t="s">
        <v>89</v>
      </c>
      <c r="B109" s="2" t="s">
        <v>88</v>
      </c>
      <c r="C109" s="6">
        <v>2.3114287438771424</v>
      </c>
      <c r="D109" s="2">
        <v>106</v>
      </c>
      <c r="E109" s="8">
        <v>0.18582486827372274</v>
      </c>
      <c r="F109" s="7">
        <f>(C109-1)*100/($C$4-1)</f>
        <v>41.106292269670917</v>
      </c>
      <c r="G109" s="6">
        <v>2.1428600000000002</v>
      </c>
      <c r="H109" s="2">
        <v>110</v>
      </c>
      <c r="I109" s="6">
        <v>1.9375</v>
      </c>
      <c r="J109" s="2">
        <v>128</v>
      </c>
      <c r="K109" s="6">
        <v>2.3571399999999998</v>
      </c>
      <c r="L109" s="2">
        <v>105</v>
      </c>
      <c r="M109" s="6">
        <v>2.2142900000000001</v>
      </c>
      <c r="N109" s="2">
        <v>112</v>
      </c>
      <c r="O109" s="6">
        <v>2.5</v>
      </c>
      <c r="P109" s="2">
        <v>86</v>
      </c>
      <c r="Q109" s="6">
        <v>2.9166699999999999</v>
      </c>
      <c r="R109" s="2">
        <v>79</v>
      </c>
      <c r="S109" s="6">
        <v>2.7272699999999999</v>
      </c>
      <c r="T109" s="2">
        <v>111</v>
      </c>
    </row>
    <row r="110" spans="1:20">
      <c r="A110" s="2" t="s">
        <v>87</v>
      </c>
      <c r="B110" s="2" t="s">
        <v>86</v>
      </c>
      <c r="C110" s="6">
        <v>2.3073122471277641</v>
      </c>
      <c r="D110" s="2">
        <v>107</v>
      </c>
      <c r="E110" s="8">
        <v>0.11579077065378177</v>
      </c>
      <c r="F110" s="7">
        <f>(C110-1)*100/($C$4-1)</f>
        <v>40.977262065554122</v>
      </c>
      <c r="G110" s="6">
        <v>2</v>
      </c>
      <c r="H110" s="2">
        <v>128</v>
      </c>
      <c r="I110" s="6">
        <v>2.08</v>
      </c>
      <c r="J110" s="2">
        <v>109</v>
      </c>
      <c r="K110" s="6">
        <v>2.4166699999999999</v>
      </c>
      <c r="L110" s="2">
        <v>99</v>
      </c>
      <c r="M110" s="6">
        <v>2.1739099999999998</v>
      </c>
      <c r="N110" s="2">
        <v>117</v>
      </c>
      <c r="O110" s="6">
        <v>2.3809499999999999</v>
      </c>
      <c r="P110" s="2">
        <v>93</v>
      </c>
      <c r="Q110" s="6">
        <v>2.5263200000000001</v>
      </c>
      <c r="R110" s="2">
        <v>127</v>
      </c>
      <c r="S110" s="6">
        <v>2.80952</v>
      </c>
      <c r="T110" s="2">
        <v>104</v>
      </c>
    </row>
    <row r="111" spans="1:20">
      <c r="A111" s="2" t="s">
        <v>85</v>
      </c>
      <c r="B111" s="2" t="s">
        <v>84</v>
      </c>
      <c r="C111" s="6">
        <v>2.3040275771064067</v>
      </c>
      <c r="D111" s="2">
        <v>108</v>
      </c>
      <c r="E111" s="8">
        <v>0.35109313226000294</v>
      </c>
      <c r="F111" s="7">
        <f>(C111-1)*100/($C$4-1)</f>
        <v>40.874305190056518</v>
      </c>
      <c r="G111" s="6">
        <v>2.4</v>
      </c>
      <c r="H111" s="2">
        <v>73</v>
      </c>
      <c r="I111" s="6">
        <v>2</v>
      </c>
      <c r="J111" s="2">
        <v>115</v>
      </c>
      <c r="K111" s="6">
        <v>2.5</v>
      </c>
      <c r="L111" s="2">
        <v>89</v>
      </c>
      <c r="M111" s="6">
        <v>2.2000000000000002</v>
      </c>
      <c r="N111" s="2">
        <v>115</v>
      </c>
      <c r="O111" s="6">
        <v>1.8333299999999999</v>
      </c>
      <c r="P111" s="2">
        <v>140</v>
      </c>
      <c r="Q111" s="6">
        <v>3.5</v>
      </c>
      <c r="R111" s="2">
        <v>6</v>
      </c>
      <c r="S111" s="6">
        <v>2.8333300000000001</v>
      </c>
      <c r="T111" s="2">
        <v>98</v>
      </c>
    </row>
    <row r="112" spans="1:20">
      <c r="A112" s="2" t="s">
        <v>83</v>
      </c>
      <c r="B112" s="2" t="s">
        <v>82</v>
      </c>
      <c r="C112" s="6">
        <v>2.2940201285502253</v>
      </c>
      <c r="D112" s="2">
        <v>109</v>
      </c>
      <c r="E112" s="8">
        <v>0.13853406156821463</v>
      </c>
      <c r="F112" s="7">
        <f>(C112-1)*100/($C$4-1)</f>
        <v>40.560625085708708</v>
      </c>
      <c r="G112" s="6">
        <v>2.1739099999999998</v>
      </c>
      <c r="H112" s="2">
        <v>106</v>
      </c>
      <c r="I112" s="6">
        <v>1.90476</v>
      </c>
      <c r="J112" s="2">
        <v>132</v>
      </c>
      <c r="K112" s="6">
        <v>2.2272699999999999</v>
      </c>
      <c r="L112" s="2">
        <v>119</v>
      </c>
      <c r="M112" s="6">
        <v>2.2105299999999999</v>
      </c>
      <c r="N112" s="2">
        <v>114</v>
      </c>
      <c r="O112" s="6">
        <v>2.3809499999999999</v>
      </c>
      <c r="P112" s="2">
        <v>92</v>
      </c>
      <c r="Q112" s="6">
        <v>3.0526300000000002</v>
      </c>
      <c r="R112" s="2">
        <v>53</v>
      </c>
      <c r="S112" s="6">
        <v>2.8823500000000002</v>
      </c>
      <c r="T112" s="2">
        <v>93</v>
      </c>
    </row>
    <row r="113" spans="1:20">
      <c r="A113" s="2" t="s">
        <v>81</v>
      </c>
      <c r="B113" s="2" t="s">
        <v>80</v>
      </c>
      <c r="C113" s="6">
        <v>2.2938264973203597</v>
      </c>
      <c r="D113" s="2">
        <v>110</v>
      </c>
      <c r="E113" s="8">
        <v>0.17882964309378668</v>
      </c>
      <c r="F113" s="7">
        <f>(C113-1)*100/($C$4-1)</f>
        <v>40.55455578002622</v>
      </c>
      <c r="G113" s="6">
        <v>2.2307700000000001</v>
      </c>
      <c r="H113" s="2">
        <v>94</v>
      </c>
      <c r="I113" s="6">
        <v>2.0769199999999999</v>
      </c>
      <c r="J113" s="2">
        <v>110</v>
      </c>
      <c r="K113" s="6">
        <v>2.25</v>
      </c>
      <c r="L113" s="2">
        <v>118</v>
      </c>
      <c r="M113" s="6">
        <v>2.3636400000000002</v>
      </c>
      <c r="N113" s="2">
        <v>99</v>
      </c>
      <c r="O113" s="6">
        <v>2</v>
      </c>
      <c r="P113" s="2">
        <v>129</v>
      </c>
      <c r="Q113" s="6">
        <v>2.8333300000000001</v>
      </c>
      <c r="R113" s="2">
        <v>95</v>
      </c>
      <c r="S113" s="6">
        <v>2.8333300000000001</v>
      </c>
      <c r="T113" s="2">
        <v>101</v>
      </c>
    </row>
    <row r="114" spans="1:20">
      <c r="A114" s="2" t="s">
        <v>79</v>
      </c>
      <c r="B114" s="2" t="s">
        <v>78</v>
      </c>
      <c r="C114" s="6">
        <v>2.2909975260419406</v>
      </c>
      <c r="D114" s="2">
        <v>111</v>
      </c>
      <c r="E114" s="8">
        <v>0.21570342306045623</v>
      </c>
      <c r="F114" s="7">
        <f>(C114-1)*100/($C$4-1)</f>
        <v>40.465882628140442</v>
      </c>
      <c r="G114" s="6">
        <v>2.2307700000000001</v>
      </c>
      <c r="H114" s="2">
        <v>95</v>
      </c>
      <c r="I114" s="6">
        <v>2</v>
      </c>
      <c r="J114" s="2">
        <v>116</v>
      </c>
      <c r="K114" s="6">
        <v>2.5</v>
      </c>
      <c r="L114" s="2">
        <v>90</v>
      </c>
      <c r="M114" s="6">
        <v>2</v>
      </c>
      <c r="N114" s="2">
        <v>128</v>
      </c>
      <c r="O114" s="6">
        <v>2.375</v>
      </c>
      <c r="P114" s="2">
        <v>96</v>
      </c>
      <c r="Q114" s="6">
        <v>2.875</v>
      </c>
      <c r="R114" s="2">
        <v>87</v>
      </c>
      <c r="S114" s="6">
        <v>2.625</v>
      </c>
      <c r="T114" s="2">
        <v>124</v>
      </c>
    </row>
    <row r="115" spans="1:20">
      <c r="A115" s="2" t="s">
        <v>77</v>
      </c>
      <c r="B115" s="2" t="s">
        <v>76</v>
      </c>
      <c r="C115" s="6">
        <v>2.2899259007501445</v>
      </c>
      <c r="D115" s="2">
        <v>112</v>
      </c>
      <c r="E115" s="8">
        <v>0.18724220902425887</v>
      </c>
      <c r="F115" s="7">
        <f>(C115-1)*100/($C$4-1)</f>
        <v>40.432292894307167</v>
      </c>
      <c r="G115" s="6">
        <v>2.1818200000000001</v>
      </c>
      <c r="H115" s="2">
        <v>105</v>
      </c>
      <c r="I115" s="6">
        <v>2.0769199999999999</v>
      </c>
      <c r="J115" s="2">
        <v>111</v>
      </c>
      <c r="K115" s="6">
        <v>2.2000000000000002</v>
      </c>
      <c r="L115" s="2">
        <v>123</v>
      </c>
      <c r="M115" s="6">
        <v>2.2222200000000001</v>
      </c>
      <c r="N115" s="2">
        <v>111</v>
      </c>
      <c r="O115" s="6">
        <v>2.2999999999999998</v>
      </c>
      <c r="P115" s="2">
        <v>104</v>
      </c>
      <c r="Q115" s="6">
        <v>2.6666699999999999</v>
      </c>
      <c r="R115" s="2">
        <v>116</v>
      </c>
      <c r="S115" s="6">
        <v>2.7777799999999999</v>
      </c>
      <c r="T115" s="2">
        <v>108</v>
      </c>
    </row>
    <row r="116" spans="1:20">
      <c r="A116" s="2" t="s">
        <v>75</v>
      </c>
      <c r="B116" s="2" t="s">
        <v>74</v>
      </c>
      <c r="C116" s="6">
        <v>2.2886818268875699</v>
      </c>
      <c r="D116" s="2">
        <v>113</v>
      </c>
      <c r="E116" s="8">
        <v>0.35870352885960372</v>
      </c>
      <c r="F116" s="7">
        <f>(C116-1)*100/($C$4-1)</f>
        <v>40.393297818105879</v>
      </c>
      <c r="G116" s="6">
        <v>2.2000000000000002</v>
      </c>
      <c r="H116" s="2">
        <v>103</v>
      </c>
      <c r="I116" s="6">
        <v>2.5</v>
      </c>
      <c r="J116" s="2">
        <v>62</v>
      </c>
      <c r="K116" s="6">
        <v>2.5</v>
      </c>
      <c r="L116" s="2">
        <v>84</v>
      </c>
      <c r="M116" s="6">
        <v>2.5</v>
      </c>
      <c r="N116" s="2">
        <v>80</v>
      </c>
      <c r="O116" s="6">
        <v>2</v>
      </c>
      <c r="P116" s="2">
        <v>127</v>
      </c>
      <c r="Q116" s="6">
        <v>2.3333300000000001</v>
      </c>
      <c r="R116" s="2">
        <v>137</v>
      </c>
      <c r="S116" s="6">
        <v>2</v>
      </c>
      <c r="T116" s="2">
        <v>148</v>
      </c>
    </row>
    <row r="117" spans="1:20">
      <c r="A117" s="2" t="s">
        <v>73</v>
      </c>
      <c r="B117" s="2" t="s">
        <v>72</v>
      </c>
      <c r="C117" s="6">
        <v>2.2862770519360103</v>
      </c>
      <c r="D117" s="2">
        <v>114</v>
      </c>
      <c r="E117" s="8">
        <v>0.21118822571169629</v>
      </c>
      <c r="F117" s="7">
        <f>(C117-1)*100/($C$4-1)</f>
        <v>40.317920957210376</v>
      </c>
      <c r="G117" s="6">
        <v>1.9230799999999999</v>
      </c>
      <c r="H117" s="2">
        <v>138</v>
      </c>
      <c r="I117" s="6">
        <v>1.8666700000000001</v>
      </c>
      <c r="J117" s="2">
        <v>136</v>
      </c>
      <c r="K117" s="6">
        <v>2.26667</v>
      </c>
      <c r="L117" s="2">
        <v>114</v>
      </c>
      <c r="M117" s="6">
        <v>2.2142900000000001</v>
      </c>
      <c r="N117" s="2">
        <v>113</v>
      </c>
      <c r="O117" s="6">
        <v>2.6428600000000002</v>
      </c>
      <c r="P117" s="2">
        <v>70</v>
      </c>
      <c r="Q117" s="6">
        <v>2.3571399999999998</v>
      </c>
      <c r="R117" s="2">
        <v>134</v>
      </c>
      <c r="S117" s="6">
        <v>2.8461500000000002</v>
      </c>
      <c r="T117" s="2">
        <v>97</v>
      </c>
    </row>
    <row r="118" spans="1:20">
      <c r="A118" s="2" t="s">
        <v>71</v>
      </c>
      <c r="B118" s="2" t="s">
        <v>70</v>
      </c>
      <c r="C118" s="6">
        <v>2.2780331955351572</v>
      </c>
      <c r="D118" s="2">
        <v>115</v>
      </c>
      <c r="E118" s="8">
        <v>0.13189591986917573</v>
      </c>
      <c r="F118" s="7">
        <f>(C118-1)*100/($C$4-1)</f>
        <v>40.059520054969347</v>
      </c>
      <c r="G118" s="6">
        <v>2.3333300000000001</v>
      </c>
      <c r="H118" s="2">
        <v>83</v>
      </c>
      <c r="I118" s="6">
        <v>2.1764700000000001</v>
      </c>
      <c r="J118" s="2">
        <v>98</v>
      </c>
      <c r="K118" s="6">
        <v>2.25</v>
      </c>
      <c r="L118" s="2">
        <v>116</v>
      </c>
      <c r="M118" s="6">
        <v>2.2857099999999999</v>
      </c>
      <c r="N118" s="2">
        <v>107</v>
      </c>
      <c r="O118" s="6">
        <v>2.0714299999999999</v>
      </c>
      <c r="P118" s="2">
        <v>124</v>
      </c>
      <c r="Q118" s="6">
        <v>3.0714299999999999</v>
      </c>
      <c r="R118" s="2">
        <v>51</v>
      </c>
      <c r="S118" s="6">
        <v>2.5384600000000002</v>
      </c>
      <c r="T118" s="2">
        <v>128</v>
      </c>
    </row>
    <row r="119" spans="1:20">
      <c r="A119" s="2" t="s">
        <v>69</v>
      </c>
      <c r="B119" s="2" t="s">
        <v>68</v>
      </c>
      <c r="C119" s="6">
        <v>2.2776261082790996</v>
      </c>
      <c r="D119" s="2">
        <v>116</v>
      </c>
      <c r="E119" s="8">
        <v>0.2330551519072821</v>
      </c>
      <c r="F119" s="7">
        <f>(C119-1)*100/($C$4-1)</f>
        <v>40.046760042040788</v>
      </c>
      <c r="G119" s="6">
        <v>2.1428600000000002</v>
      </c>
      <c r="H119" s="2">
        <v>111</v>
      </c>
      <c r="I119" s="6">
        <v>2.25</v>
      </c>
      <c r="J119" s="2">
        <v>89</v>
      </c>
      <c r="K119" s="6">
        <v>2.2222200000000001</v>
      </c>
      <c r="L119" s="2">
        <v>120</v>
      </c>
      <c r="M119" s="6">
        <v>2</v>
      </c>
      <c r="N119" s="2">
        <v>132</v>
      </c>
      <c r="O119" s="6">
        <v>2.2222200000000001</v>
      </c>
      <c r="P119" s="2">
        <v>114</v>
      </c>
      <c r="Q119" s="6">
        <v>3.1428600000000002</v>
      </c>
      <c r="R119" s="2">
        <v>35</v>
      </c>
      <c r="S119" s="6">
        <v>2.8571399999999998</v>
      </c>
      <c r="T119" s="2">
        <v>94</v>
      </c>
    </row>
    <row r="120" spans="1:20">
      <c r="A120" s="2" t="s">
        <v>67</v>
      </c>
      <c r="B120" s="2" t="s">
        <v>66</v>
      </c>
      <c r="C120" s="6">
        <v>2.2527318671176491</v>
      </c>
      <c r="D120" s="2">
        <v>117</v>
      </c>
      <c r="E120" s="8">
        <v>0.21315713584817803</v>
      </c>
      <c r="F120" s="7">
        <f>(C120-1)*100/($C$4-1)</f>
        <v>39.266458437556416</v>
      </c>
      <c r="G120" s="6">
        <v>2.0833300000000001</v>
      </c>
      <c r="H120" s="2">
        <v>120</v>
      </c>
      <c r="I120" s="6">
        <v>2</v>
      </c>
      <c r="J120" s="2">
        <v>120</v>
      </c>
      <c r="K120" s="6">
        <v>2.4</v>
      </c>
      <c r="L120" s="2">
        <v>103</v>
      </c>
      <c r="M120" s="6">
        <v>2.2857099999999999</v>
      </c>
      <c r="N120" s="2">
        <v>106</v>
      </c>
      <c r="O120" s="6">
        <v>1.88889</v>
      </c>
      <c r="P120" s="2">
        <v>139</v>
      </c>
      <c r="Q120" s="6">
        <v>2.125</v>
      </c>
      <c r="R120" s="2">
        <v>146</v>
      </c>
      <c r="S120" s="6">
        <v>2.8333300000000001</v>
      </c>
      <c r="T120" s="2">
        <v>102</v>
      </c>
    </row>
    <row r="121" spans="1:20">
      <c r="A121" s="2" t="s">
        <v>65</v>
      </c>
      <c r="B121" s="2" t="s">
        <v>64</v>
      </c>
      <c r="C121" s="6">
        <v>2.2467026848816714</v>
      </c>
      <c r="D121" s="2">
        <v>118</v>
      </c>
      <c r="E121" s="8">
        <v>0.10728708256902701</v>
      </c>
      <c r="F121" s="7">
        <f>(C121-1)*100/($C$4-1)</f>
        <v>39.077475751080826</v>
      </c>
      <c r="G121" s="6">
        <v>2.3529399999999998</v>
      </c>
      <c r="H121" s="2">
        <v>80</v>
      </c>
      <c r="I121" s="6">
        <v>2.03226</v>
      </c>
      <c r="J121" s="2">
        <v>113</v>
      </c>
      <c r="K121" s="6">
        <v>2.1333299999999999</v>
      </c>
      <c r="L121" s="2">
        <v>126</v>
      </c>
      <c r="M121" s="6">
        <v>2.0714299999999999</v>
      </c>
      <c r="N121" s="2">
        <v>125</v>
      </c>
      <c r="O121" s="6">
        <v>2.2413799999999999</v>
      </c>
      <c r="P121" s="2">
        <v>112</v>
      </c>
      <c r="Q121" s="6">
        <v>3.5</v>
      </c>
      <c r="R121" s="2">
        <v>5</v>
      </c>
      <c r="S121" s="6">
        <v>2.6538499999999998</v>
      </c>
      <c r="T121" s="2">
        <v>119</v>
      </c>
    </row>
    <row r="122" spans="1:20">
      <c r="A122" s="2" t="s">
        <v>63</v>
      </c>
      <c r="B122" s="2" t="s">
        <v>62</v>
      </c>
      <c r="C122" s="6">
        <v>2.2458024218704438</v>
      </c>
      <c r="D122" s="2">
        <v>119</v>
      </c>
      <c r="E122" s="8">
        <v>0.20092688058373714</v>
      </c>
      <c r="F122" s="7">
        <f>(C122-1)*100/($C$4-1)</f>
        <v>39.049257310214806</v>
      </c>
      <c r="G122" s="6">
        <v>2.1</v>
      </c>
      <c r="H122" s="2">
        <v>117</v>
      </c>
      <c r="I122" s="6">
        <v>2.25</v>
      </c>
      <c r="J122" s="2">
        <v>90</v>
      </c>
      <c r="K122" s="6">
        <v>2.4</v>
      </c>
      <c r="L122" s="2">
        <v>101</v>
      </c>
      <c r="M122" s="6">
        <v>2.4</v>
      </c>
      <c r="N122" s="2">
        <v>94</v>
      </c>
      <c r="O122" s="6">
        <v>2.2000000000000002</v>
      </c>
      <c r="P122" s="2">
        <v>115</v>
      </c>
      <c r="Q122" s="6">
        <v>3.3333300000000001</v>
      </c>
      <c r="R122" s="2">
        <v>14</v>
      </c>
      <c r="S122" s="6">
        <v>2.11111</v>
      </c>
      <c r="T122" s="2">
        <v>145</v>
      </c>
    </row>
    <row r="123" spans="1:20">
      <c r="A123" s="2" t="s">
        <v>61</v>
      </c>
      <c r="B123" s="2" t="s">
        <v>60</v>
      </c>
      <c r="C123" s="6">
        <v>2.2433922154678356</v>
      </c>
      <c r="D123" s="2">
        <v>120</v>
      </c>
      <c r="E123" s="8">
        <v>0.14540928359496752</v>
      </c>
      <c r="F123" s="7">
        <f>(C123-1)*100/($C$4-1)</f>
        <v>38.973710202315573</v>
      </c>
      <c r="G123" s="6">
        <v>2.23529</v>
      </c>
      <c r="H123" s="2">
        <v>93</v>
      </c>
      <c r="I123" s="6">
        <v>2.125</v>
      </c>
      <c r="J123" s="2">
        <v>107</v>
      </c>
      <c r="K123" s="6">
        <v>2.25</v>
      </c>
      <c r="L123" s="2">
        <v>117</v>
      </c>
      <c r="M123" s="6">
        <v>2</v>
      </c>
      <c r="N123" s="2">
        <v>131</v>
      </c>
      <c r="O123" s="6">
        <v>2.1875</v>
      </c>
      <c r="P123" s="2">
        <v>117</v>
      </c>
      <c r="Q123" s="6">
        <v>3.2142900000000001</v>
      </c>
      <c r="R123" s="2">
        <v>26</v>
      </c>
      <c r="S123" s="6">
        <v>2.6666699999999999</v>
      </c>
      <c r="T123" s="2">
        <v>116</v>
      </c>
    </row>
    <row r="124" spans="1:20">
      <c r="A124" s="2" t="s">
        <v>59</v>
      </c>
      <c r="B124" s="2" t="s">
        <v>58</v>
      </c>
      <c r="C124" s="6">
        <v>2.24191893437103</v>
      </c>
      <c r="D124" s="2">
        <v>121</v>
      </c>
      <c r="E124" s="8">
        <v>0.22736914577680978</v>
      </c>
      <c r="F124" s="7">
        <f>(C124-1)*100/($C$4-1)</f>
        <v>38.927530702557448</v>
      </c>
      <c r="G124" s="6">
        <v>2.125</v>
      </c>
      <c r="H124" s="2">
        <v>115</v>
      </c>
      <c r="I124" s="6">
        <v>1.88889</v>
      </c>
      <c r="J124" s="2">
        <v>133</v>
      </c>
      <c r="K124" s="6">
        <v>2.6666699999999999</v>
      </c>
      <c r="L124" s="2">
        <v>71</v>
      </c>
      <c r="M124" s="6">
        <v>2.3333300000000001</v>
      </c>
      <c r="N124" s="2">
        <v>102</v>
      </c>
      <c r="O124" s="6">
        <v>2.125</v>
      </c>
      <c r="P124" s="2">
        <v>122</v>
      </c>
      <c r="Q124" s="6">
        <v>2.6666699999999999</v>
      </c>
      <c r="R124" s="2">
        <v>118</v>
      </c>
      <c r="S124" s="6">
        <v>2.25</v>
      </c>
      <c r="T124" s="2">
        <v>143</v>
      </c>
    </row>
    <row r="125" spans="1:20">
      <c r="A125" s="2" t="s">
        <v>57</v>
      </c>
      <c r="B125" s="2" t="s">
        <v>56</v>
      </c>
      <c r="C125" s="6">
        <v>2.2139477761908135</v>
      </c>
      <c r="D125" s="2">
        <v>122</v>
      </c>
      <c r="E125" s="8">
        <v>0.13563237985889648</v>
      </c>
      <c r="F125" s="7">
        <f>(C125-1)*100/($C$4-1)</f>
        <v>38.050784170467644</v>
      </c>
      <c r="G125" s="6">
        <v>2.1428600000000002</v>
      </c>
      <c r="H125" s="2">
        <v>112</v>
      </c>
      <c r="I125" s="6">
        <v>1.8620699999999999</v>
      </c>
      <c r="J125" s="2">
        <v>138</v>
      </c>
      <c r="K125" s="6">
        <v>2.1785700000000001</v>
      </c>
      <c r="L125" s="2">
        <v>124</v>
      </c>
      <c r="M125" s="6">
        <v>2.40741</v>
      </c>
      <c r="N125" s="2">
        <v>92</v>
      </c>
      <c r="O125" s="6">
        <v>2.18519</v>
      </c>
      <c r="P125" s="2">
        <v>118</v>
      </c>
      <c r="Q125" s="6">
        <v>3.0434800000000002</v>
      </c>
      <c r="R125" s="2">
        <v>55</v>
      </c>
      <c r="S125" s="6">
        <v>2.5</v>
      </c>
      <c r="T125" s="2">
        <v>131</v>
      </c>
    </row>
    <row r="126" spans="1:20">
      <c r="A126" s="2" t="s">
        <v>55</v>
      </c>
      <c r="B126" s="2" t="s">
        <v>54</v>
      </c>
      <c r="C126" s="6">
        <v>2.2114623441911885</v>
      </c>
      <c r="D126" s="2">
        <v>123</v>
      </c>
      <c r="E126" s="8">
        <v>0.13044286454028983</v>
      </c>
      <c r="F126" s="7">
        <f>(C126-1)*100/($C$4-1)</f>
        <v>37.972879141566928</v>
      </c>
      <c r="G126" s="6">
        <v>2.0833300000000001</v>
      </c>
      <c r="H126" s="2">
        <v>121</v>
      </c>
      <c r="I126" s="6">
        <v>2.1363599999999998</v>
      </c>
      <c r="J126" s="2">
        <v>103</v>
      </c>
      <c r="K126" s="6">
        <v>2.2000000000000002</v>
      </c>
      <c r="L126" s="2">
        <v>122</v>
      </c>
      <c r="M126" s="6">
        <v>2.1052599999999999</v>
      </c>
      <c r="N126" s="2">
        <v>122</v>
      </c>
      <c r="O126" s="6">
        <v>2.1578900000000001</v>
      </c>
      <c r="P126" s="2">
        <v>121</v>
      </c>
      <c r="Q126" s="6">
        <v>2.7777799999999999</v>
      </c>
      <c r="R126" s="2">
        <v>104</v>
      </c>
      <c r="S126" s="6">
        <v>2.6</v>
      </c>
      <c r="T126" s="2">
        <v>125</v>
      </c>
    </row>
    <row r="127" spans="1:20">
      <c r="A127" s="2" t="s">
        <v>53</v>
      </c>
      <c r="B127" s="2" t="s">
        <v>52</v>
      </c>
      <c r="C127" s="6">
        <v>2.1878113621746555</v>
      </c>
      <c r="D127" s="2">
        <v>124</v>
      </c>
      <c r="E127" s="8">
        <v>0.26317578461745889</v>
      </c>
      <c r="F127" s="7">
        <f>(C127-1)*100/($C$4-1)</f>
        <v>37.231547076233298</v>
      </c>
      <c r="G127" s="6">
        <v>2.1428600000000002</v>
      </c>
      <c r="H127" s="2">
        <v>113</v>
      </c>
      <c r="I127" s="6">
        <v>2</v>
      </c>
      <c r="J127" s="2">
        <v>117</v>
      </c>
      <c r="K127" s="6">
        <v>2</v>
      </c>
      <c r="L127" s="2">
        <v>135</v>
      </c>
      <c r="M127" s="6">
        <v>2.6666699999999999</v>
      </c>
      <c r="N127" s="2">
        <v>69</v>
      </c>
      <c r="O127" s="6">
        <v>2.5</v>
      </c>
      <c r="P127" s="2">
        <v>82</v>
      </c>
      <c r="Q127" s="6">
        <v>3</v>
      </c>
      <c r="R127" s="2">
        <v>61</v>
      </c>
      <c r="S127" s="6">
        <v>1.8333299999999999</v>
      </c>
      <c r="T127" s="2">
        <v>149</v>
      </c>
    </row>
    <row r="128" spans="1:20">
      <c r="A128" s="2" t="s">
        <v>51</v>
      </c>
      <c r="B128" s="2" t="s">
        <v>50</v>
      </c>
      <c r="C128" s="6">
        <v>2.162202613627823</v>
      </c>
      <c r="D128" s="2">
        <v>125</v>
      </c>
      <c r="E128" s="8">
        <v>0.24889476096125901</v>
      </c>
      <c r="F128" s="7">
        <f>(C128-1)*100/($C$4-1)</f>
        <v>36.428849478409994</v>
      </c>
      <c r="G128" s="6">
        <v>2</v>
      </c>
      <c r="H128" s="2">
        <v>129</v>
      </c>
      <c r="I128" s="6">
        <v>2.25</v>
      </c>
      <c r="J128" s="2">
        <v>91</v>
      </c>
      <c r="K128" s="6">
        <v>2.25</v>
      </c>
      <c r="L128" s="2">
        <v>115</v>
      </c>
      <c r="M128" s="6">
        <v>1.75</v>
      </c>
      <c r="N128" s="2">
        <v>146</v>
      </c>
      <c r="O128" s="6">
        <v>2.25</v>
      </c>
      <c r="P128" s="2">
        <v>110</v>
      </c>
      <c r="Q128" s="6">
        <v>2</v>
      </c>
      <c r="R128" s="2">
        <v>149</v>
      </c>
      <c r="S128" s="6">
        <v>2.5</v>
      </c>
      <c r="T128" s="2">
        <v>133</v>
      </c>
    </row>
    <row r="129" spans="1:20">
      <c r="A129" s="2" t="s">
        <v>49</v>
      </c>
      <c r="B129" s="2" t="s">
        <v>48</v>
      </c>
      <c r="C129" s="6">
        <v>2.1587626041064891</v>
      </c>
      <c r="D129" s="2">
        <v>126</v>
      </c>
      <c r="E129" s="8">
        <v>0.27513695147496181</v>
      </c>
      <c r="F129" s="7">
        <f>(C129-1)*100/($C$4-1)</f>
        <v>36.321023538606092</v>
      </c>
      <c r="G129" s="6">
        <v>2.1428600000000002</v>
      </c>
      <c r="H129" s="2">
        <v>114</v>
      </c>
      <c r="I129" s="6">
        <v>2</v>
      </c>
      <c r="J129" s="2">
        <v>118</v>
      </c>
      <c r="K129" s="6">
        <v>2.1428600000000002</v>
      </c>
      <c r="L129" s="2">
        <v>125</v>
      </c>
      <c r="M129" s="6">
        <v>1.8333299999999999</v>
      </c>
      <c r="N129" s="2">
        <v>142</v>
      </c>
      <c r="O129" s="6">
        <v>1.8333299999999999</v>
      </c>
      <c r="P129" s="2">
        <v>142</v>
      </c>
      <c r="Q129" s="6">
        <v>2.6</v>
      </c>
      <c r="R129" s="2">
        <v>125</v>
      </c>
      <c r="S129" s="6">
        <v>3</v>
      </c>
      <c r="T129" s="2">
        <v>83</v>
      </c>
    </row>
    <row r="130" spans="1:20">
      <c r="A130" s="2" t="s">
        <v>47</v>
      </c>
      <c r="B130" s="2" t="s">
        <v>46</v>
      </c>
      <c r="C130" s="6">
        <v>2.1587530990671553</v>
      </c>
      <c r="D130" s="2">
        <v>127</v>
      </c>
      <c r="E130" s="8">
        <v>0.22233989284733699</v>
      </c>
      <c r="F130" s="7">
        <f>(C130-1)*100/($C$4-1)</f>
        <v>36.320725606349605</v>
      </c>
      <c r="G130" s="6">
        <v>2.4285700000000001</v>
      </c>
      <c r="H130" s="2">
        <v>68</v>
      </c>
      <c r="I130" s="6">
        <v>1.625</v>
      </c>
      <c r="J130" s="2">
        <v>147</v>
      </c>
      <c r="K130" s="6">
        <v>1.875</v>
      </c>
      <c r="L130" s="2">
        <v>141</v>
      </c>
      <c r="M130" s="6">
        <v>2.25</v>
      </c>
      <c r="N130" s="2">
        <v>110</v>
      </c>
      <c r="O130" s="6">
        <v>1.75</v>
      </c>
      <c r="P130" s="2">
        <v>144</v>
      </c>
      <c r="Q130" s="6">
        <v>3</v>
      </c>
      <c r="R130" s="2">
        <v>71</v>
      </c>
      <c r="S130" s="6">
        <v>3</v>
      </c>
      <c r="T130" s="2">
        <v>81</v>
      </c>
    </row>
    <row r="131" spans="1:20">
      <c r="A131" s="2" t="s">
        <v>45</v>
      </c>
      <c r="B131" s="2" t="s">
        <v>44</v>
      </c>
      <c r="C131" s="6">
        <v>2.1567535103637856</v>
      </c>
      <c r="D131" s="2">
        <v>128</v>
      </c>
      <c r="E131" s="8">
        <v>0.13308293366176344</v>
      </c>
      <c r="F131" s="7">
        <f>(C131-1)*100/($C$4-1)</f>
        <v>36.258049171931333</v>
      </c>
      <c r="G131" s="6">
        <v>1.95</v>
      </c>
      <c r="H131" s="2">
        <v>135</v>
      </c>
      <c r="I131" s="6">
        <v>1.94737</v>
      </c>
      <c r="J131" s="2">
        <v>127</v>
      </c>
      <c r="K131" s="6">
        <v>2.0588199999999999</v>
      </c>
      <c r="L131" s="2">
        <v>134</v>
      </c>
      <c r="M131" s="6">
        <v>2.1764700000000001</v>
      </c>
      <c r="N131" s="2">
        <v>116</v>
      </c>
      <c r="O131" s="6">
        <v>2.26667</v>
      </c>
      <c r="P131" s="2">
        <v>109</v>
      </c>
      <c r="Q131" s="6">
        <v>3.3571399999999998</v>
      </c>
      <c r="R131" s="2">
        <v>13</v>
      </c>
      <c r="S131" s="6">
        <v>2.5714299999999999</v>
      </c>
      <c r="T131" s="2">
        <v>126</v>
      </c>
    </row>
    <row r="132" spans="1:20">
      <c r="A132" s="2" t="s">
        <v>43</v>
      </c>
      <c r="B132" s="2" t="s">
        <v>42</v>
      </c>
      <c r="C132" s="6">
        <v>2.1567464494774229</v>
      </c>
      <c r="D132" s="2">
        <v>129</v>
      </c>
      <c r="E132" s="8">
        <v>0.13646510432278067</v>
      </c>
      <c r="F132" s="7">
        <f>(C132-1)*100/($C$4-1)</f>
        <v>36.257827850826502</v>
      </c>
      <c r="G132" s="6">
        <v>1.9411799999999999</v>
      </c>
      <c r="H132" s="2">
        <v>136</v>
      </c>
      <c r="I132" s="6">
        <v>2</v>
      </c>
      <c r="J132" s="2">
        <v>124</v>
      </c>
      <c r="K132" s="6">
        <v>2.0666699999999998</v>
      </c>
      <c r="L132" s="2">
        <v>133</v>
      </c>
      <c r="M132" s="6">
        <v>2.1538499999999998</v>
      </c>
      <c r="N132" s="2">
        <v>118</v>
      </c>
      <c r="O132" s="6">
        <v>2.0769199999999999</v>
      </c>
      <c r="P132" s="2">
        <v>123</v>
      </c>
      <c r="Q132" s="6">
        <v>2.90909</v>
      </c>
      <c r="R132" s="2">
        <v>82</v>
      </c>
      <c r="S132" s="6">
        <v>2.7272699999999999</v>
      </c>
      <c r="T132" s="2">
        <v>112</v>
      </c>
    </row>
    <row r="133" spans="1:20">
      <c r="A133" s="2" t="s">
        <v>41</v>
      </c>
      <c r="B133" s="2" t="s">
        <v>40</v>
      </c>
      <c r="C133" s="6">
        <v>2.137593252073847</v>
      </c>
      <c r="D133" s="2">
        <v>130</v>
      </c>
      <c r="E133" s="8">
        <v>0.17153751266008785</v>
      </c>
      <c r="F133" s="7">
        <f>(C133-1)*100/($C$4-1)</f>
        <v>35.657477329270563</v>
      </c>
      <c r="G133" s="6">
        <v>1.8333299999999999</v>
      </c>
      <c r="H133" s="2">
        <v>141</v>
      </c>
      <c r="I133" s="6">
        <v>1.7692300000000001</v>
      </c>
      <c r="J133" s="2">
        <v>144</v>
      </c>
      <c r="K133" s="6">
        <v>2.09091</v>
      </c>
      <c r="L133" s="2">
        <v>131</v>
      </c>
      <c r="M133" s="6">
        <v>2.0833300000000001</v>
      </c>
      <c r="N133" s="2">
        <v>124</v>
      </c>
      <c r="O133" s="6">
        <v>2.3333300000000001</v>
      </c>
      <c r="P133" s="2">
        <v>102</v>
      </c>
      <c r="Q133" s="6">
        <v>3.25</v>
      </c>
      <c r="R133" s="2">
        <v>22</v>
      </c>
      <c r="S133" s="6">
        <v>2.75</v>
      </c>
      <c r="T133" s="2">
        <v>110</v>
      </c>
    </row>
    <row r="134" spans="1:20">
      <c r="A134" s="2" t="s">
        <v>39</v>
      </c>
      <c r="B134" s="2" t="s">
        <v>38</v>
      </c>
      <c r="C134" s="6">
        <v>2.1368187271543837</v>
      </c>
      <c r="D134" s="2">
        <v>131</v>
      </c>
      <c r="E134" s="8">
        <v>0.22870205814346284</v>
      </c>
      <c r="F134" s="7">
        <f>(C134-1)*100/($C$4-1)</f>
        <v>35.633200106540585</v>
      </c>
      <c r="G134" s="6">
        <v>2.1</v>
      </c>
      <c r="H134" s="2">
        <v>118</v>
      </c>
      <c r="I134" s="6">
        <v>1.7777799999999999</v>
      </c>
      <c r="J134" s="2">
        <v>143</v>
      </c>
      <c r="K134" s="6">
        <v>2</v>
      </c>
      <c r="L134" s="2">
        <v>140</v>
      </c>
      <c r="M134" s="6">
        <v>2.11111</v>
      </c>
      <c r="N134" s="2">
        <v>121</v>
      </c>
      <c r="O134" s="6">
        <v>2.2222200000000001</v>
      </c>
      <c r="P134" s="2">
        <v>113</v>
      </c>
      <c r="Q134" s="6">
        <v>3.4285700000000001</v>
      </c>
      <c r="R134" s="2">
        <v>8</v>
      </c>
      <c r="S134" s="6">
        <v>2.625</v>
      </c>
      <c r="T134" s="2">
        <v>122</v>
      </c>
    </row>
    <row r="135" spans="1:20">
      <c r="A135" s="2" t="s">
        <v>37</v>
      </c>
      <c r="B135" s="2" t="s">
        <v>36</v>
      </c>
      <c r="C135" s="6">
        <v>2.1318008811035671</v>
      </c>
      <c r="D135" s="2">
        <v>132</v>
      </c>
      <c r="E135" s="8">
        <v>0.24752308020131969</v>
      </c>
      <c r="F135" s="7">
        <f>(C135-1)*100/($C$4-1)</f>
        <v>35.475917412156996</v>
      </c>
      <c r="G135" s="6">
        <v>2</v>
      </c>
      <c r="H135" s="2">
        <v>130</v>
      </c>
      <c r="I135" s="6">
        <v>2.2857099999999999</v>
      </c>
      <c r="J135" s="2">
        <v>84</v>
      </c>
      <c r="K135" s="6">
        <v>2.2000000000000002</v>
      </c>
      <c r="L135" s="2">
        <v>121</v>
      </c>
      <c r="M135" s="6">
        <v>1.75</v>
      </c>
      <c r="N135" s="2">
        <v>147</v>
      </c>
      <c r="O135" s="6">
        <v>2.25</v>
      </c>
      <c r="P135" s="2">
        <v>111</v>
      </c>
      <c r="Q135" s="6">
        <v>2.6666699999999999</v>
      </c>
      <c r="R135" s="2">
        <v>117</v>
      </c>
      <c r="S135" s="6">
        <v>2.3333300000000001</v>
      </c>
      <c r="T135" s="2">
        <v>137</v>
      </c>
    </row>
    <row r="136" spans="1:20">
      <c r="A136" s="2" t="s">
        <v>35</v>
      </c>
      <c r="B136" s="2" t="s">
        <v>34</v>
      </c>
      <c r="C136" s="6">
        <v>2.122284435722138</v>
      </c>
      <c r="D136" s="2">
        <v>133</v>
      </c>
      <c r="E136" s="8">
        <v>0.1329264988942794</v>
      </c>
      <c r="F136" s="7">
        <f>(C136-1)*100/($C$4-1)</f>
        <v>35.177627636945211</v>
      </c>
      <c r="G136" s="6">
        <v>1.90909</v>
      </c>
      <c r="H136" s="2">
        <v>139</v>
      </c>
      <c r="I136" s="6">
        <v>1.86364</v>
      </c>
      <c r="J136" s="2">
        <v>137</v>
      </c>
      <c r="K136" s="6">
        <v>2.09524</v>
      </c>
      <c r="L136" s="2">
        <v>129</v>
      </c>
      <c r="M136" s="6">
        <v>2.0476200000000002</v>
      </c>
      <c r="N136" s="2">
        <v>126</v>
      </c>
      <c r="O136" s="6">
        <v>2.19048</v>
      </c>
      <c r="P136" s="2">
        <v>116</v>
      </c>
      <c r="Q136" s="6">
        <v>2.80952</v>
      </c>
      <c r="R136" s="2">
        <v>96</v>
      </c>
      <c r="S136" s="6">
        <v>2.65</v>
      </c>
      <c r="T136" s="2">
        <v>120</v>
      </c>
    </row>
    <row r="137" spans="1:20">
      <c r="A137" s="2" t="s">
        <v>33</v>
      </c>
      <c r="B137" s="2" t="s">
        <v>32</v>
      </c>
      <c r="C137" s="6">
        <v>2.0998139795909152</v>
      </c>
      <c r="D137" s="2">
        <v>134</v>
      </c>
      <c r="E137" s="8">
        <v>0.36463645668904443</v>
      </c>
      <c r="F137" s="7">
        <f>(C137-1)*100/($C$4-1)</f>
        <v>34.473298757869344</v>
      </c>
      <c r="G137" s="6">
        <v>2.25</v>
      </c>
      <c r="H137" s="2">
        <v>92</v>
      </c>
      <c r="I137" s="6">
        <v>2.4</v>
      </c>
      <c r="J137" s="2">
        <v>69</v>
      </c>
      <c r="K137" s="6">
        <v>1.6666700000000001</v>
      </c>
      <c r="L137" s="2">
        <v>147</v>
      </c>
      <c r="M137" s="6">
        <v>2</v>
      </c>
      <c r="N137" s="2">
        <v>136</v>
      </c>
      <c r="O137" s="6">
        <v>2</v>
      </c>
      <c r="P137" s="2">
        <v>134</v>
      </c>
      <c r="Q137" s="6">
        <v>2.75</v>
      </c>
      <c r="R137" s="2">
        <v>109</v>
      </c>
      <c r="S137" s="6">
        <v>2.3333300000000001</v>
      </c>
      <c r="T137" s="2">
        <v>136</v>
      </c>
    </row>
    <row r="138" spans="1:20">
      <c r="A138" s="2" t="s">
        <v>31</v>
      </c>
      <c r="B138" s="2" t="s">
        <v>30</v>
      </c>
      <c r="C138" s="6">
        <v>2.0892278099255557</v>
      </c>
      <c r="D138" s="2">
        <v>135</v>
      </c>
      <c r="E138" s="8">
        <v>0.19936192587149631</v>
      </c>
      <c r="F138" s="7">
        <f>(C138-1)*100/($C$4-1)</f>
        <v>34.141478835275549</v>
      </c>
      <c r="G138" s="6">
        <v>2.1666699999999999</v>
      </c>
      <c r="H138" s="2">
        <v>108</v>
      </c>
      <c r="I138" s="6">
        <v>1.90909</v>
      </c>
      <c r="J138" s="2">
        <v>131</v>
      </c>
      <c r="K138" s="6">
        <v>2</v>
      </c>
      <c r="L138" s="2">
        <v>138</v>
      </c>
      <c r="M138" s="6">
        <v>1.8</v>
      </c>
      <c r="N138" s="2">
        <v>145</v>
      </c>
      <c r="O138" s="6">
        <v>2</v>
      </c>
      <c r="P138" s="2">
        <v>137</v>
      </c>
      <c r="Q138" s="6">
        <v>2.88889</v>
      </c>
      <c r="R138" s="2">
        <v>84</v>
      </c>
      <c r="S138" s="6">
        <v>2.6666699999999999</v>
      </c>
      <c r="T138" s="2">
        <v>118</v>
      </c>
    </row>
    <row r="139" spans="1:20">
      <c r="A139" s="2" t="s">
        <v>29</v>
      </c>
      <c r="B139" s="2" t="s">
        <v>28</v>
      </c>
      <c r="C139" s="6">
        <v>2.084905189608901</v>
      </c>
      <c r="D139" s="2">
        <v>136</v>
      </c>
      <c r="E139" s="8">
        <v>0.20302585819179431</v>
      </c>
      <c r="F139" s="7">
        <f>(C139-1)*100/($C$4-1)</f>
        <v>34.005987757367713</v>
      </c>
      <c r="G139" s="6">
        <v>2</v>
      </c>
      <c r="H139" s="2">
        <v>131</v>
      </c>
      <c r="I139" s="6">
        <v>1.9166700000000001</v>
      </c>
      <c r="J139" s="2">
        <v>129</v>
      </c>
      <c r="K139" s="6">
        <v>2.5</v>
      </c>
      <c r="L139" s="2">
        <v>91</v>
      </c>
      <c r="M139" s="6">
        <v>1.8</v>
      </c>
      <c r="N139" s="2">
        <v>144</v>
      </c>
      <c r="O139" s="6">
        <v>2</v>
      </c>
      <c r="P139" s="2">
        <v>136</v>
      </c>
      <c r="Q139" s="6">
        <v>3</v>
      </c>
      <c r="R139" s="2">
        <v>70</v>
      </c>
      <c r="S139" s="6">
        <v>2.25</v>
      </c>
      <c r="T139" s="2">
        <v>142</v>
      </c>
    </row>
    <row r="140" spans="1:20">
      <c r="A140" s="2" t="s">
        <v>27</v>
      </c>
      <c r="B140" s="2" t="s">
        <v>26</v>
      </c>
      <c r="C140" s="6">
        <v>2.0837034810645019</v>
      </c>
      <c r="D140" s="2">
        <v>137</v>
      </c>
      <c r="E140" s="8">
        <v>0.17388248019164781</v>
      </c>
      <c r="F140" s="7">
        <f>(C140-1)*100/($C$4-1)</f>
        <v>33.96832060779542</v>
      </c>
      <c r="G140" s="6">
        <v>2.0714299999999999</v>
      </c>
      <c r="H140" s="2">
        <v>123</v>
      </c>
      <c r="I140" s="6">
        <v>2</v>
      </c>
      <c r="J140" s="2">
        <v>122</v>
      </c>
      <c r="K140" s="6">
        <v>2.0833300000000001</v>
      </c>
      <c r="L140" s="2">
        <v>132</v>
      </c>
      <c r="M140" s="6">
        <v>1.9166700000000001</v>
      </c>
      <c r="N140" s="2">
        <v>138</v>
      </c>
      <c r="O140" s="6">
        <v>2.1666699999999999</v>
      </c>
      <c r="P140" s="2">
        <v>120</v>
      </c>
      <c r="Q140" s="6">
        <v>3.3333300000000001</v>
      </c>
      <c r="R140" s="2">
        <v>15</v>
      </c>
      <c r="S140" s="6">
        <v>2.2727300000000001</v>
      </c>
      <c r="T140" s="2">
        <v>140</v>
      </c>
    </row>
    <row r="141" spans="1:20">
      <c r="A141" s="2" t="s">
        <v>25</v>
      </c>
      <c r="B141" s="2" t="s">
        <v>24</v>
      </c>
      <c r="C141" s="6">
        <v>2.0831750008775187</v>
      </c>
      <c r="D141" s="2">
        <v>138</v>
      </c>
      <c r="E141" s="8">
        <v>0.18752142995408227</v>
      </c>
      <c r="F141" s="7">
        <f>(C141-1)*100/($C$4-1)</f>
        <v>33.951755574333795</v>
      </c>
      <c r="G141" s="6">
        <v>1.7272700000000001</v>
      </c>
      <c r="H141" s="2">
        <v>144</v>
      </c>
      <c r="I141" s="6">
        <v>2</v>
      </c>
      <c r="J141" s="2">
        <v>126</v>
      </c>
      <c r="K141" s="6">
        <v>2.3636400000000002</v>
      </c>
      <c r="L141" s="2">
        <v>104</v>
      </c>
      <c r="M141" s="6">
        <v>2.1</v>
      </c>
      <c r="N141" s="2">
        <v>123</v>
      </c>
      <c r="O141" s="6">
        <v>2</v>
      </c>
      <c r="P141" s="2">
        <v>131</v>
      </c>
      <c r="Q141" s="6">
        <v>2.7272699999999999</v>
      </c>
      <c r="R141" s="2">
        <v>111</v>
      </c>
      <c r="S141" s="6">
        <v>2.2999999999999998</v>
      </c>
      <c r="T141" s="2">
        <v>139</v>
      </c>
    </row>
    <row r="142" spans="1:20">
      <c r="A142" s="2" t="s">
        <v>23</v>
      </c>
      <c r="B142" s="2" t="s">
        <v>22</v>
      </c>
      <c r="C142" s="6">
        <v>2.0813763758629302</v>
      </c>
      <c r="D142" s="2">
        <v>139</v>
      </c>
      <c r="E142" s="8">
        <v>0.17149574291918759</v>
      </c>
      <c r="F142" s="7">
        <f>(C142-1)*100/($C$4-1)</f>
        <v>33.895378279053048</v>
      </c>
      <c r="G142" s="6">
        <v>2</v>
      </c>
      <c r="H142" s="2">
        <v>132</v>
      </c>
      <c r="I142" s="6">
        <v>2.3333300000000001</v>
      </c>
      <c r="J142" s="2">
        <v>78</v>
      </c>
      <c r="K142" s="6">
        <v>2.3333300000000001</v>
      </c>
      <c r="L142" s="2">
        <v>109</v>
      </c>
      <c r="M142" s="6">
        <v>2</v>
      </c>
      <c r="N142" s="2">
        <v>130</v>
      </c>
      <c r="O142" s="6">
        <v>1.6666700000000001</v>
      </c>
      <c r="P142" s="2">
        <v>145</v>
      </c>
      <c r="Q142" s="6">
        <v>2.7777799999999999</v>
      </c>
      <c r="R142" s="2">
        <v>105</v>
      </c>
      <c r="S142" s="6">
        <v>2.125</v>
      </c>
      <c r="T142" s="2">
        <v>144</v>
      </c>
    </row>
    <row r="143" spans="1:20">
      <c r="A143" s="2" t="s">
        <v>21</v>
      </c>
      <c r="B143" s="2" t="s">
        <v>20</v>
      </c>
      <c r="C143" s="6">
        <v>2.0633803491051586</v>
      </c>
      <c r="D143" s="2">
        <v>140</v>
      </c>
      <c r="E143" s="8">
        <v>0.22146152746647635</v>
      </c>
      <c r="F143" s="7">
        <f>(C143-1)*100/($C$4-1)</f>
        <v>33.331298881638929</v>
      </c>
      <c r="G143" s="6">
        <v>1.6</v>
      </c>
      <c r="H143" s="2">
        <v>148</v>
      </c>
      <c r="I143" s="6">
        <v>1.8333299999999999</v>
      </c>
      <c r="J143" s="2">
        <v>139</v>
      </c>
      <c r="K143" s="6">
        <v>2</v>
      </c>
      <c r="L143" s="2">
        <v>139</v>
      </c>
      <c r="M143" s="6">
        <v>1.9166700000000001</v>
      </c>
      <c r="N143" s="2">
        <v>139</v>
      </c>
      <c r="O143" s="6">
        <v>2.2727300000000001</v>
      </c>
      <c r="P143" s="2">
        <v>108</v>
      </c>
      <c r="Q143" s="6">
        <v>3.1666699999999999</v>
      </c>
      <c r="R143" s="2">
        <v>33</v>
      </c>
      <c r="S143" s="6">
        <v>2.8181799999999999</v>
      </c>
      <c r="T143" s="2">
        <v>103</v>
      </c>
    </row>
    <row r="144" spans="1:20">
      <c r="A144" s="2" t="s">
        <v>19</v>
      </c>
      <c r="B144" s="2" t="s">
        <v>18</v>
      </c>
      <c r="C144" s="6">
        <v>2.0480109720742625</v>
      </c>
      <c r="D144" s="2">
        <v>141</v>
      </c>
      <c r="E144" s="8">
        <v>0.14646924650288926</v>
      </c>
      <c r="F144" s="7">
        <f>(C144-1)*100/($C$4-1)</f>
        <v>32.849550935222126</v>
      </c>
      <c r="G144" s="6">
        <v>1.95455</v>
      </c>
      <c r="H144" s="2">
        <v>134</v>
      </c>
      <c r="I144" s="6">
        <v>1.78261</v>
      </c>
      <c r="J144" s="2">
        <v>142</v>
      </c>
      <c r="K144" s="6">
        <v>1.8</v>
      </c>
      <c r="L144" s="2">
        <v>144</v>
      </c>
      <c r="M144" s="6">
        <v>1.95</v>
      </c>
      <c r="N144" s="2">
        <v>137</v>
      </c>
      <c r="O144" s="6">
        <v>2.35</v>
      </c>
      <c r="P144" s="2">
        <v>98</v>
      </c>
      <c r="Q144" s="6">
        <v>3.5</v>
      </c>
      <c r="R144" s="2">
        <v>4</v>
      </c>
      <c r="S144" s="6">
        <v>2.5</v>
      </c>
      <c r="T144" s="2">
        <v>129</v>
      </c>
    </row>
    <row r="145" spans="1:20">
      <c r="A145" s="2" t="s">
        <v>17</v>
      </c>
      <c r="B145" s="2" t="s">
        <v>16</v>
      </c>
      <c r="C145" s="6">
        <v>1.9832854562238964</v>
      </c>
      <c r="D145" s="2">
        <v>142</v>
      </c>
      <c r="E145" s="8">
        <v>0.16281081608277295</v>
      </c>
      <c r="F145" s="7">
        <f>(C145-1)*100/($C$4-1)</f>
        <v>30.820751441332412</v>
      </c>
      <c r="G145" s="6">
        <v>2</v>
      </c>
      <c r="H145" s="2">
        <v>133</v>
      </c>
      <c r="I145" s="6">
        <v>1.8</v>
      </c>
      <c r="J145" s="2">
        <v>141</v>
      </c>
      <c r="K145" s="6">
        <v>1.8333299999999999</v>
      </c>
      <c r="L145" s="2">
        <v>142</v>
      </c>
      <c r="M145" s="6">
        <v>1.8181799999999999</v>
      </c>
      <c r="N145" s="2">
        <v>143</v>
      </c>
      <c r="O145" s="6">
        <v>1.90909</v>
      </c>
      <c r="P145" s="2">
        <v>138</v>
      </c>
      <c r="Q145" s="6">
        <v>4</v>
      </c>
      <c r="R145" s="2">
        <v>1</v>
      </c>
      <c r="S145" s="6">
        <v>2.5555599999999998</v>
      </c>
      <c r="T145" s="2">
        <v>127</v>
      </c>
    </row>
    <row r="146" spans="1:20">
      <c r="A146" s="2" t="s">
        <v>15</v>
      </c>
      <c r="B146" s="2" t="s">
        <v>14</v>
      </c>
      <c r="C146" s="6">
        <v>1.9718633862422297</v>
      </c>
      <c r="D146" s="2">
        <v>143</v>
      </c>
      <c r="E146" s="8">
        <v>0.22950291969654635</v>
      </c>
      <c r="F146" s="7">
        <f>(C146-1)*100/($C$4-1)</f>
        <v>30.462730504866641</v>
      </c>
      <c r="G146" s="6">
        <v>1.6666700000000001</v>
      </c>
      <c r="H146" s="2">
        <v>145</v>
      </c>
      <c r="I146" s="6">
        <v>1.4</v>
      </c>
      <c r="J146" s="2">
        <v>149</v>
      </c>
      <c r="K146" s="6">
        <v>1.8</v>
      </c>
      <c r="L146" s="2">
        <v>145</v>
      </c>
      <c r="M146" s="6">
        <v>2</v>
      </c>
      <c r="N146" s="2">
        <v>134</v>
      </c>
      <c r="O146" s="6">
        <v>2</v>
      </c>
      <c r="P146" s="2">
        <v>133</v>
      </c>
      <c r="Q146" s="6">
        <v>1.6666700000000001</v>
      </c>
      <c r="R146" s="2">
        <v>150</v>
      </c>
      <c r="S146" s="6">
        <v>3</v>
      </c>
      <c r="T146" s="2">
        <v>85</v>
      </c>
    </row>
    <row r="147" spans="1:20">
      <c r="A147" s="2" t="s">
        <v>13</v>
      </c>
      <c r="B147" s="2" t="s">
        <v>12</v>
      </c>
      <c r="C147" s="6">
        <v>1.9543643372553614</v>
      </c>
      <c r="D147" s="2">
        <v>144</v>
      </c>
      <c r="E147" s="8">
        <v>0.20955535521957683</v>
      </c>
      <c r="F147" s="7">
        <f>(C147-1)*100/($C$4-1)</f>
        <v>29.914228708292566</v>
      </c>
      <c r="G147" s="6">
        <v>1.5833299999999999</v>
      </c>
      <c r="H147" s="2">
        <v>149</v>
      </c>
      <c r="I147" s="6">
        <v>1.8333299999999999</v>
      </c>
      <c r="J147" s="2">
        <v>140</v>
      </c>
      <c r="K147" s="6">
        <v>1.8181799999999999</v>
      </c>
      <c r="L147" s="2">
        <v>143</v>
      </c>
      <c r="M147" s="6">
        <v>1.90909</v>
      </c>
      <c r="N147" s="2">
        <v>140</v>
      </c>
      <c r="O147" s="6">
        <v>2</v>
      </c>
      <c r="P147" s="2">
        <v>135</v>
      </c>
      <c r="Q147" s="6">
        <v>3</v>
      </c>
      <c r="R147" s="2">
        <v>69</v>
      </c>
      <c r="S147" s="6">
        <v>2.6363599999999998</v>
      </c>
      <c r="T147" s="2">
        <v>121</v>
      </c>
    </row>
    <row r="148" spans="1:20">
      <c r="A148" s="2" t="s">
        <v>11</v>
      </c>
      <c r="B148" s="2" t="s">
        <v>10</v>
      </c>
      <c r="C148" s="6">
        <v>1.9427440193104379</v>
      </c>
      <c r="D148" s="2">
        <v>145</v>
      </c>
      <c r="E148" s="8">
        <v>0.16042650455992508</v>
      </c>
      <c r="F148" s="7">
        <f>(C148-1)*100/($C$4-1)</f>
        <v>29.549993756191139</v>
      </c>
      <c r="G148" s="6">
        <v>1.63636</v>
      </c>
      <c r="H148" s="2">
        <v>146</v>
      </c>
      <c r="I148" s="6">
        <v>1.9166700000000001</v>
      </c>
      <c r="J148" s="2">
        <v>130</v>
      </c>
      <c r="K148" s="6">
        <v>2</v>
      </c>
      <c r="L148" s="2">
        <v>137</v>
      </c>
      <c r="M148" s="6">
        <v>2</v>
      </c>
      <c r="N148" s="2">
        <v>133</v>
      </c>
      <c r="O148" s="6">
        <v>1.8181799999999999</v>
      </c>
      <c r="P148" s="2">
        <v>143</v>
      </c>
      <c r="Q148" s="6">
        <v>2.8</v>
      </c>
      <c r="R148" s="2">
        <v>99</v>
      </c>
      <c r="S148" s="6">
        <v>2.2999999999999998</v>
      </c>
      <c r="T148" s="2">
        <v>138</v>
      </c>
    </row>
    <row r="149" spans="1:20">
      <c r="A149" s="2" t="s">
        <v>9</v>
      </c>
      <c r="B149" s="2" t="s">
        <v>8</v>
      </c>
      <c r="C149" s="6">
        <v>1.9333234390400071</v>
      </c>
      <c r="D149" s="2">
        <v>146</v>
      </c>
      <c r="E149" s="8">
        <v>0.18586658128241287</v>
      </c>
      <c r="F149" s="7">
        <f>(C149-1)*100/($C$4-1)</f>
        <v>29.254708840594912</v>
      </c>
      <c r="G149" s="6">
        <v>1.90909</v>
      </c>
      <c r="H149" s="2">
        <v>140</v>
      </c>
      <c r="I149" s="6">
        <v>2</v>
      </c>
      <c r="J149" s="2">
        <v>125</v>
      </c>
      <c r="K149" s="6">
        <v>2</v>
      </c>
      <c r="L149" s="2">
        <v>136</v>
      </c>
      <c r="M149" s="6">
        <v>1.9</v>
      </c>
      <c r="N149" s="2">
        <v>141</v>
      </c>
      <c r="O149" s="6">
        <v>1.6666700000000001</v>
      </c>
      <c r="P149" s="2">
        <v>146</v>
      </c>
      <c r="Q149" s="6">
        <v>2.3333300000000001</v>
      </c>
      <c r="R149" s="2">
        <v>138</v>
      </c>
      <c r="S149" s="6">
        <v>2.11111</v>
      </c>
      <c r="T149" s="2">
        <v>146</v>
      </c>
    </row>
    <row r="150" spans="1:20">
      <c r="A150" s="2" t="s">
        <v>7</v>
      </c>
      <c r="B150" s="2" t="s">
        <v>6</v>
      </c>
      <c r="C150" s="6">
        <v>1.8620391744764708</v>
      </c>
      <c r="D150" s="2">
        <v>147</v>
      </c>
      <c r="E150" s="8">
        <v>0.17066749326264169</v>
      </c>
      <c r="F150" s="7">
        <f>(C150-1)*100/($C$4-1)</f>
        <v>27.020327577367258</v>
      </c>
      <c r="G150" s="6">
        <v>2.0714299999999999</v>
      </c>
      <c r="H150" s="2">
        <v>124</v>
      </c>
      <c r="I150" s="6">
        <v>1.6875</v>
      </c>
      <c r="J150" s="2">
        <v>145</v>
      </c>
      <c r="K150" s="6">
        <v>1.73333</v>
      </c>
      <c r="L150" s="2">
        <v>146</v>
      </c>
      <c r="M150" s="6">
        <v>2</v>
      </c>
      <c r="N150" s="2">
        <v>135</v>
      </c>
      <c r="O150" s="6">
        <v>1.5714300000000001</v>
      </c>
      <c r="P150" s="2">
        <v>149</v>
      </c>
      <c r="Q150" s="6">
        <v>2.9230800000000001</v>
      </c>
      <c r="R150" s="2">
        <v>76</v>
      </c>
      <c r="S150" s="6">
        <v>2.0833300000000001</v>
      </c>
      <c r="T150" s="2">
        <v>147</v>
      </c>
    </row>
    <row r="151" spans="1:20">
      <c r="A151" s="2" t="s">
        <v>5</v>
      </c>
      <c r="B151" s="2" t="s">
        <v>4</v>
      </c>
      <c r="C151" s="6">
        <v>1.7748182178200613</v>
      </c>
      <c r="D151" s="2">
        <v>148</v>
      </c>
      <c r="E151" s="8">
        <v>0.13327790873131609</v>
      </c>
      <c r="F151" s="7">
        <f>(C151-1)*100/($C$4-1)</f>
        <v>24.286416068184604</v>
      </c>
      <c r="G151" s="6">
        <v>1.8</v>
      </c>
      <c r="H151" s="2">
        <v>143</v>
      </c>
      <c r="I151" s="6">
        <v>1.5333300000000001</v>
      </c>
      <c r="J151" s="2">
        <v>148</v>
      </c>
      <c r="K151" s="6">
        <v>1.6666700000000001</v>
      </c>
      <c r="L151" s="2">
        <v>148</v>
      </c>
      <c r="M151" s="6">
        <v>1.6666700000000001</v>
      </c>
      <c r="N151" s="2">
        <v>148</v>
      </c>
      <c r="O151" s="6">
        <v>1.6</v>
      </c>
      <c r="P151" s="2">
        <v>148</v>
      </c>
      <c r="Q151" s="6">
        <v>3.0714299999999999</v>
      </c>
      <c r="R151" s="2">
        <v>52</v>
      </c>
      <c r="S151" s="6">
        <v>2.38462</v>
      </c>
      <c r="T151" s="2">
        <v>135</v>
      </c>
    </row>
    <row r="152" spans="1:20">
      <c r="A152" s="2" t="s">
        <v>3</v>
      </c>
      <c r="B152" s="2" t="s">
        <v>2</v>
      </c>
      <c r="C152" s="6">
        <v>1.7117737360690919</v>
      </c>
      <c r="D152" s="2">
        <v>149</v>
      </c>
      <c r="E152" s="8">
        <v>0.22714516375618771</v>
      </c>
      <c r="F152" s="7">
        <f>(C152-1)*100/($C$4-1)</f>
        <v>22.310308021945175</v>
      </c>
      <c r="G152" s="6">
        <v>1.625</v>
      </c>
      <c r="H152" s="2">
        <v>147</v>
      </c>
      <c r="I152" s="6">
        <v>1.6666700000000001</v>
      </c>
      <c r="J152" s="2">
        <v>146</v>
      </c>
      <c r="K152" s="6">
        <v>1.5</v>
      </c>
      <c r="L152" s="2">
        <v>149</v>
      </c>
      <c r="M152" s="6">
        <v>1.6</v>
      </c>
      <c r="N152" s="2">
        <v>149</v>
      </c>
      <c r="O152" s="6">
        <v>1.6666700000000001</v>
      </c>
      <c r="P152" s="2">
        <v>147</v>
      </c>
      <c r="Q152" s="6">
        <v>3.3333300000000001</v>
      </c>
      <c r="R152" s="2">
        <v>16</v>
      </c>
      <c r="S152" s="6">
        <v>2.25</v>
      </c>
      <c r="T152" s="2">
        <v>141</v>
      </c>
    </row>
    <row r="153" spans="1:20">
      <c r="A153" s="2" t="s">
        <v>1</v>
      </c>
      <c r="B153" s="2" t="s">
        <v>0</v>
      </c>
      <c r="C153" s="6">
        <v>1.2116693503692606</v>
      </c>
      <c r="D153" s="2">
        <v>150</v>
      </c>
      <c r="E153" s="8">
        <v>9.908628611488661E-2</v>
      </c>
      <c r="F153" s="7">
        <f>(C153-1)*100/($C$4-1)</f>
        <v>6.6347044941889157</v>
      </c>
      <c r="G153" s="6">
        <v>1.3</v>
      </c>
      <c r="H153" s="2">
        <v>150</v>
      </c>
      <c r="I153" s="6">
        <v>1.1000000000000001</v>
      </c>
      <c r="J153" s="2">
        <v>150</v>
      </c>
      <c r="K153" s="6">
        <v>1.2222200000000001</v>
      </c>
      <c r="L153" s="2">
        <v>150</v>
      </c>
      <c r="M153" s="6">
        <v>1.25</v>
      </c>
      <c r="N153" s="2">
        <v>150</v>
      </c>
      <c r="O153" s="6">
        <v>1</v>
      </c>
      <c r="P153" s="2">
        <v>150</v>
      </c>
      <c r="Q153" s="6">
        <v>3.125</v>
      </c>
      <c r="R153" s="2">
        <v>40</v>
      </c>
      <c r="S153" s="6">
        <v>1.375</v>
      </c>
      <c r="T153" s="2">
        <v>150</v>
      </c>
    </row>
    <row r="154" spans="1:20">
      <c r="A154" s="5"/>
      <c r="B154" s="4"/>
      <c r="C154" s="4"/>
      <c r="D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5"/>
      <c r="B155" s="4"/>
      <c r="C155" s="4"/>
      <c r="D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5"/>
      <c r="B156" s="4"/>
      <c r="C156" s="4"/>
      <c r="D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5"/>
      <c r="B157" s="4"/>
      <c r="C157" s="4"/>
      <c r="D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5"/>
      <c r="B158" s="4"/>
      <c r="C158" s="4"/>
      <c r="D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5"/>
      <c r="B159" s="4"/>
      <c r="C159" s="4"/>
      <c r="D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5"/>
      <c r="B160" s="4"/>
      <c r="C160" s="4"/>
      <c r="D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5"/>
      <c r="B161" s="4"/>
      <c r="C161" s="4"/>
      <c r="D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5"/>
      <c r="B162" s="4"/>
      <c r="C162" s="4"/>
      <c r="D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5"/>
      <c r="B163" s="4"/>
      <c r="C163" s="4"/>
      <c r="D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5"/>
      <c r="B164" s="4"/>
      <c r="C164" s="4"/>
      <c r="D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</sheetData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Rønnebek Hansen</dc:creator>
  <cp:lastModifiedBy>Thomas Rønnebek Hansen</cp:lastModifiedBy>
  <dcterms:created xsi:type="dcterms:W3CDTF">2026-03-17T13:27:41Z</dcterms:created>
  <dcterms:modified xsi:type="dcterms:W3CDTF">2026-03-17T13:28:21Z</dcterms:modified>
</cp:coreProperties>
</file>